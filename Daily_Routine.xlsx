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SH PROJECTS STUFF\"/>
    </mc:Choice>
  </mc:AlternateContent>
  <xr:revisionPtr revIDLastSave="0" documentId="13_ncr:1_{E4BB03EE-280A-4B71-BF7F-1450B13BF07C}" xr6:coauthVersionLast="47" xr6:coauthVersionMax="47" xr10:uidLastSave="{00000000-0000-0000-0000-000000000000}"/>
  <bookViews>
    <workbookView xWindow="-108" yWindow="-108" windowWidth="23256" windowHeight="12456" xr2:uid="{FD43B0E9-850B-4867-8382-E9D8970719A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8" i="1" l="1" a="1"/>
  <c r="P68" i="1" s="1"/>
  <c r="Q68" i="1" a="1"/>
  <c r="Q68" i="1" s="1"/>
  <c r="R68" i="1" a="1"/>
  <c r="R68" i="1" s="1"/>
  <c r="S68" i="1" a="1"/>
  <c r="S68" i="1" s="1"/>
  <c r="T68" i="1" a="1"/>
  <c r="T68" i="1" s="1"/>
  <c r="U68" i="1" a="1"/>
  <c r="U68" i="1" s="1"/>
  <c r="V68" i="1"/>
  <c r="B52" i="1" a="1"/>
  <c r="B52" i="1" s="1"/>
  <c r="C52" i="1" a="1"/>
  <c r="C52" i="1" s="1"/>
  <c r="D52" i="1" a="1"/>
  <c r="D52" i="1" s="1"/>
  <c r="E52" i="1" a="1"/>
  <c r="E52" i="1" s="1"/>
  <c r="F52" i="1" a="1"/>
  <c r="F52" i="1" s="1"/>
  <c r="G52" i="1" a="1"/>
  <c r="G52" i="1" s="1"/>
  <c r="H5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<sst xmlns="http://schemas.openxmlformats.org/spreadsheetml/2006/main" count="483" uniqueCount="261">
  <si>
    <t>Sleep</t>
  </si>
  <si>
    <t>Food</t>
  </si>
  <si>
    <t>Workout</t>
  </si>
  <si>
    <t>Date</t>
  </si>
  <si>
    <t>5.5 hours</t>
  </si>
  <si>
    <t>20 minutes</t>
  </si>
  <si>
    <t>Morning walk</t>
  </si>
  <si>
    <t>30 minutes</t>
  </si>
  <si>
    <t>Music</t>
  </si>
  <si>
    <t>28 songs</t>
  </si>
  <si>
    <t>Work</t>
  </si>
  <si>
    <t>7 hours</t>
  </si>
  <si>
    <t>9 hours</t>
  </si>
  <si>
    <t>Studying</t>
  </si>
  <si>
    <t>21 songs</t>
  </si>
  <si>
    <t>6.5 hours</t>
  </si>
  <si>
    <t>4 hours</t>
  </si>
  <si>
    <t>4.5 hours</t>
  </si>
  <si>
    <t>18 songs</t>
  </si>
  <si>
    <t>12 songs</t>
  </si>
  <si>
    <t>0 hours</t>
  </si>
  <si>
    <t>12 hours</t>
  </si>
  <si>
    <t>22 songs</t>
  </si>
  <si>
    <t>10 hours</t>
  </si>
  <si>
    <t>17 songs</t>
  </si>
  <si>
    <t>0 minutes</t>
  </si>
  <si>
    <t>23 songs</t>
  </si>
  <si>
    <t>25 minutes</t>
  </si>
  <si>
    <t>8 hours</t>
  </si>
  <si>
    <t>26 songs</t>
  </si>
  <si>
    <t>11 songs</t>
  </si>
  <si>
    <t>1965 kcal.</t>
  </si>
  <si>
    <t>15 minutes</t>
  </si>
  <si>
    <t>46 songs</t>
  </si>
  <si>
    <t>15 songs</t>
  </si>
  <si>
    <t>16 songs</t>
  </si>
  <si>
    <t>7.5 hours</t>
  </si>
  <si>
    <t>20 songs</t>
  </si>
  <si>
    <t>19 songs</t>
  </si>
  <si>
    <t>10 minutes</t>
  </si>
  <si>
    <t>31 songs</t>
  </si>
  <si>
    <t>5 songs</t>
  </si>
  <si>
    <t>32 songs</t>
  </si>
  <si>
    <t>6 hours</t>
  </si>
  <si>
    <t>9 songs</t>
  </si>
  <si>
    <r>
      <t>1,850 kcal</t>
    </r>
    <r>
      <rPr>
        <sz val="11"/>
        <color theme="1"/>
        <rFont val="Aptos Narrow"/>
        <family val="2"/>
        <scheme val="minor"/>
      </rPr>
      <t>.</t>
    </r>
  </si>
  <si>
    <r>
      <t>2593 kcal</t>
    </r>
    <r>
      <rPr>
        <sz val="11"/>
        <color theme="1"/>
        <rFont val="Aptos Narrow"/>
        <family val="2"/>
        <scheme val="minor"/>
      </rPr>
      <t>.</t>
    </r>
  </si>
  <si>
    <r>
      <t>2195 kcal</t>
    </r>
    <r>
      <rPr>
        <sz val="11"/>
        <color theme="1"/>
        <rFont val="Aptos Narrow"/>
        <family val="2"/>
        <scheme val="minor"/>
      </rPr>
      <t>.</t>
    </r>
  </si>
  <si>
    <r>
      <t>2083 kcal</t>
    </r>
    <r>
      <rPr>
        <sz val="11"/>
        <color theme="1"/>
        <rFont val="Aptos Narrow"/>
        <family val="2"/>
        <scheme val="minor"/>
      </rPr>
      <t>.</t>
    </r>
  </si>
  <si>
    <r>
      <t>2122 kcal</t>
    </r>
    <r>
      <rPr>
        <sz val="11"/>
        <color theme="1"/>
        <rFont val="Aptos Narrow"/>
        <family val="2"/>
        <scheme val="minor"/>
      </rPr>
      <t>.</t>
    </r>
  </si>
  <si>
    <r>
      <t>2362 kcal</t>
    </r>
    <r>
      <rPr>
        <sz val="11"/>
        <color theme="1"/>
        <rFont val="Aptos Narrow"/>
        <family val="2"/>
        <scheme val="minor"/>
      </rPr>
      <t>.</t>
    </r>
  </si>
  <si>
    <r>
      <t>2031 kcal</t>
    </r>
    <r>
      <rPr>
        <sz val="11"/>
        <color theme="1"/>
        <rFont val="Aptos Narrow"/>
        <family val="2"/>
        <scheme val="minor"/>
      </rPr>
      <t>.</t>
    </r>
  </si>
  <si>
    <r>
      <t>2678 kcal</t>
    </r>
    <r>
      <rPr>
        <sz val="11"/>
        <color theme="1"/>
        <rFont val="Aptos Narrow"/>
        <family val="2"/>
        <scheme val="minor"/>
      </rPr>
      <t>.</t>
    </r>
  </si>
  <si>
    <r>
      <t>3226 kcal</t>
    </r>
    <r>
      <rPr>
        <sz val="11"/>
        <color theme="1"/>
        <rFont val="Aptos Narrow"/>
        <family val="2"/>
        <scheme val="minor"/>
      </rPr>
      <t>.</t>
    </r>
  </si>
  <si>
    <r>
      <t>2311 kcal</t>
    </r>
    <r>
      <rPr>
        <sz val="11"/>
        <color theme="1"/>
        <rFont val="Aptos Narrow"/>
        <family val="2"/>
        <scheme val="minor"/>
      </rPr>
      <t>.</t>
    </r>
  </si>
  <si>
    <r>
      <t>2089 kcal</t>
    </r>
    <r>
      <rPr>
        <sz val="11"/>
        <color theme="1"/>
        <rFont val="Aptos Narrow"/>
        <family val="2"/>
        <scheme val="minor"/>
      </rPr>
      <t>.</t>
    </r>
  </si>
  <si>
    <r>
      <t>2755 kcal</t>
    </r>
    <r>
      <rPr>
        <sz val="11"/>
        <color theme="1"/>
        <rFont val="Aptos Narrow"/>
        <family val="2"/>
        <scheme val="minor"/>
      </rPr>
      <t>.</t>
    </r>
  </si>
  <si>
    <r>
      <t>3102 kcal</t>
    </r>
    <r>
      <rPr>
        <sz val="11"/>
        <color theme="1"/>
        <rFont val="Aptos Narrow"/>
        <family val="2"/>
        <scheme val="minor"/>
      </rPr>
      <t>.</t>
    </r>
  </si>
  <si>
    <r>
      <t>2230 kcal</t>
    </r>
    <r>
      <rPr>
        <sz val="11"/>
        <color theme="1"/>
        <rFont val="Aptos Narrow"/>
        <family val="2"/>
        <scheme val="minor"/>
      </rPr>
      <t>.</t>
    </r>
  </si>
  <si>
    <r>
      <t>2165 kcal</t>
    </r>
    <r>
      <rPr>
        <sz val="11"/>
        <color theme="1"/>
        <rFont val="Aptos Narrow"/>
        <family val="2"/>
        <scheme val="minor"/>
      </rPr>
      <t>.</t>
    </r>
  </si>
  <si>
    <r>
      <t>2540 kcal</t>
    </r>
    <r>
      <rPr>
        <sz val="11"/>
        <color theme="1"/>
        <rFont val="Aptos Narrow"/>
        <family val="2"/>
        <scheme val="minor"/>
      </rPr>
      <t>.</t>
    </r>
  </si>
  <si>
    <r>
      <t>1,945 kcal</t>
    </r>
    <r>
      <rPr>
        <sz val="11"/>
        <color theme="1"/>
        <rFont val="Aptos Narrow"/>
        <family val="2"/>
        <scheme val="minor"/>
      </rPr>
      <t>.</t>
    </r>
  </si>
  <si>
    <r>
      <t>3291 kcal</t>
    </r>
    <r>
      <rPr>
        <sz val="11"/>
        <color theme="1"/>
        <rFont val="Aptos Narrow"/>
        <family val="2"/>
        <scheme val="minor"/>
      </rPr>
      <t>.</t>
    </r>
  </si>
  <si>
    <r>
      <t>2955 kcal</t>
    </r>
    <r>
      <rPr>
        <sz val="11"/>
        <color theme="1"/>
        <rFont val="Aptos Narrow"/>
        <family val="2"/>
        <scheme val="minor"/>
      </rPr>
      <t>.</t>
    </r>
  </si>
  <si>
    <t>3421 kcal.</t>
  </si>
  <si>
    <t>2866 kcal.</t>
  </si>
  <si>
    <t>14 songs</t>
  </si>
  <si>
    <t>8.5 hours</t>
  </si>
  <si>
    <t>35 songs</t>
  </si>
  <si>
    <t>13 songs</t>
  </si>
  <si>
    <t>1050 kcal.</t>
  </si>
  <si>
    <t>1945 kcal.</t>
  </si>
  <si>
    <t>1650 kcal.</t>
  </si>
  <si>
    <t>2019 kcal.</t>
  </si>
  <si>
    <t>41 songs</t>
  </si>
  <si>
    <t>2345 kcal.</t>
  </si>
  <si>
    <t>Wed, Dec 3rd 2025</t>
  </si>
  <si>
    <t>Thu, Dec 4th 2025</t>
  </si>
  <si>
    <t>Fri, Dec 5th 2025</t>
  </si>
  <si>
    <t>Sat, Dec 6th 2025</t>
  </si>
  <si>
    <t>Sun, Dec 7th 2025</t>
  </si>
  <si>
    <t>Mon, Dec 8th 2025</t>
  </si>
  <si>
    <t>Tue, Dec 9th 2025</t>
  </si>
  <si>
    <t>Wed, Dec 10th 2025</t>
  </si>
  <si>
    <t>Thu. Dec 11th 2025</t>
  </si>
  <si>
    <t>Fri, Dec 12th 2025</t>
  </si>
  <si>
    <t>Sat, Dec 13th 2025</t>
  </si>
  <si>
    <t>Sun, Dec 14th  2025</t>
  </si>
  <si>
    <t>Mon, Dec 15th 2025</t>
  </si>
  <si>
    <t>Tue, Dec 16th 2025</t>
  </si>
  <si>
    <t>Wed, Dec 17th 2025</t>
  </si>
  <si>
    <t>Thu, Dec 18th 2025</t>
  </si>
  <si>
    <t>Fri, Dec 19th 2025</t>
  </si>
  <si>
    <t>Sat, Dec 20th 2025</t>
  </si>
  <si>
    <t>Sun, Dec 21st 2025</t>
  </si>
  <si>
    <t>Mon, Dec 22nd 2025</t>
  </si>
  <si>
    <t>Tue, Dec 23rd 2025</t>
  </si>
  <si>
    <t>Wed, Dec 24th 2025</t>
  </si>
  <si>
    <t>Thu, Dec 25th 2025</t>
  </si>
  <si>
    <t>Fri, Dec 26th 2025</t>
  </si>
  <si>
    <t>Sat, Dec 27th 2025</t>
  </si>
  <si>
    <t>Sun, Dec 28th 2025</t>
  </si>
  <si>
    <t>Mon, Dec 29th 2025</t>
  </si>
  <si>
    <t>Tue, Dec 30th 2025</t>
  </si>
  <si>
    <t>Wed, Dec 31st 2025</t>
  </si>
  <si>
    <t>Thu, Jan 1st 2026</t>
  </si>
  <si>
    <t>Fri, Jan 2nd 2026</t>
  </si>
  <si>
    <t>47 songs</t>
  </si>
  <si>
    <t>2541 kcal.</t>
  </si>
  <si>
    <t>2633 kcal.</t>
  </si>
  <si>
    <t>Sat, Jan 3rd 2026</t>
  </si>
  <si>
    <t>2093 kcal.</t>
  </si>
  <si>
    <t>25 songs</t>
  </si>
  <si>
    <t>2489 kcal.</t>
  </si>
  <si>
    <t>Sun, Jan 4th 2026</t>
  </si>
  <si>
    <t>Mon, Jan 5th 2026</t>
  </si>
  <si>
    <t>1856 kcal.</t>
  </si>
  <si>
    <t>Tue, Jan 6th 2026</t>
  </si>
  <si>
    <t>Wed, Jan 7th 2026</t>
  </si>
  <si>
    <t>2354 kcal.</t>
  </si>
  <si>
    <t>2941 kcal.</t>
  </si>
  <si>
    <t>Thu, Jan 8th 2026</t>
  </si>
  <si>
    <t>Fri, Jan 9th 2026</t>
  </si>
  <si>
    <t>2741 kcal.</t>
  </si>
  <si>
    <t>Sat, Jan 10th 2026</t>
  </si>
  <si>
    <t>3040 kcal.</t>
  </si>
  <si>
    <t>Sun, Jan 11th 2026</t>
  </si>
  <si>
    <t>2732 kcal.</t>
  </si>
  <si>
    <t>10 songs</t>
  </si>
  <si>
    <t>12 hous</t>
  </si>
  <si>
    <t>Mon, Jan 12th 2026</t>
  </si>
  <si>
    <t>2360 kcal.</t>
  </si>
  <si>
    <t>Tue, Jan 13th 2026</t>
  </si>
  <si>
    <t>3612 kcal.</t>
  </si>
  <si>
    <t>35 minutes</t>
  </si>
  <si>
    <t>Wed, Jan 14th 2026</t>
  </si>
  <si>
    <t>2852 kcal.</t>
  </si>
  <si>
    <t>8 songs</t>
  </si>
  <si>
    <t>2156 kcal.</t>
  </si>
  <si>
    <t>Thu, Jan 15th 2026</t>
  </si>
  <si>
    <t>Fri, Jan 16th 2026</t>
  </si>
  <si>
    <t>Sat, Jan 17th 2026</t>
  </si>
  <si>
    <t>Sun, Jan 18th 2026</t>
  </si>
  <si>
    <t>2663 kcal.</t>
  </si>
  <si>
    <t>3255 kcal.</t>
  </si>
  <si>
    <t>36 songs</t>
  </si>
  <si>
    <t>Mon, Jan 19th 2026</t>
  </si>
  <si>
    <t>Tue, Jan 20th 2026</t>
  </si>
  <si>
    <t>Wed, Jan 21st 2026</t>
  </si>
  <si>
    <t>3 Km</t>
  </si>
  <si>
    <t>3.7 Km</t>
  </si>
  <si>
    <t>2 Km</t>
  </si>
  <si>
    <t>3.5 Km</t>
  </si>
  <si>
    <t>1.1 Km</t>
  </si>
  <si>
    <t>2.9 Km</t>
  </si>
  <si>
    <t>1.8 Km</t>
  </si>
  <si>
    <t>1.9 Km</t>
  </si>
  <si>
    <t>4.4 Km</t>
  </si>
  <si>
    <t>6 Km</t>
  </si>
  <si>
    <t>5.4 Km</t>
  </si>
  <si>
    <t>1.3 Km</t>
  </si>
  <si>
    <t>8.2 Km</t>
  </si>
  <si>
    <t>4.2 Km</t>
  </si>
  <si>
    <t>1 Km</t>
  </si>
  <si>
    <t>0.8 Km</t>
  </si>
  <si>
    <t>7.6 Km</t>
  </si>
  <si>
    <t>0.7 Km</t>
  </si>
  <si>
    <t>7.4 Km</t>
  </si>
  <si>
    <t>6.5 Km</t>
  </si>
  <si>
    <t>9.5 Km</t>
  </si>
  <si>
    <t>2.8 Km</t>
  </si>
  <si>
    <t>10.6 Km</t>
  </si>
  <si>
    <t>8.7 Km</t>
  </si>
  <si>
    <t>0.9 Km</t>
  </si>
  <si>
    <t>8.4 Km</t>
  </si>
  <si>
    <t>5.6 Km</t>
  </si>
  <si>
    <t>7.3 Km</t>
  </si>
  <si>
    <t>0.6 Km</t>
  </si>
  <si>
    <t>12.3 Km</t>
  </si>
  <si>
    <t>7.2 Km</t>
  </si>
  <si>
    <t>4.7 Km</t>
  </si>
  <si>
    <t>0.4 Km</t>
  </si>
  <si>
    <t>Used StrideKick.com to convert step count using my phone to distance in kilometers</t>
  </si>
  <si>
    <t>2750 Kcal.</t>
  </si>
  <si>
    <t>2020 kcal.</t>
  </si>
  <si>
    <t>9 Km</t>
  </si>
  <si>
    <t>1,828 kcal.</t>
  </si>
  <si>
    <t>Totals</t>
  </si>
  <si>
    <t>1. Key Insights &amp; Questions to Answer</t>
  </si>
  <si>
    <t>When building your dashboard, try to answer these specific questions:</t>
  </si>
  <si>
    <r>
      <t>The Productivity Balance:</t>
    </r>
    <r>
      <rPr>
        <sz val="11"/>
        <color theme="1"/>
        <rFont val="Aptos Narrow"/>
        <family val="2"/>
        <scheme val="minor"/>
      </rPr>
      <t xml:space="preserve"> How does "Work" time affect "Studying" time? Is there a trade-off, or do you manage to do both on the same day?</t>
    </r>
  </si>
  <si>
    <r>
      <t>Health vs. Output:</t>
    </r>
    <r>
      <rPr>
        <sz val="11"/>
        <color theme="1"/>
        <rFont val="Aptos Narrow"/>
        <family val="2"/>
        <scheme val="minor"/>
      </rPr>
      <t xml:space="preserve"> Does a high calorie intake (</t>
    </r>
    <r>
      <rPr>
        <b/>
        <sz val="11"/>
        <color theme="1"/>
        <rFont val="Aptos Narrow"/>
        <family val="2"/>
        <scheme val="minor"/>
      </rPr>
      <t>Food</t>
    </r>
    <r>
      <rPr>
        <sz val="11"/>
        <color theme="1"/>
        <rFont val="Aptos Narrow"/>
        <family val="2"/>
        <scheme val="minor"/>
      </rPr>
      <t xml:space="preserve">) or a long </t>
    </r>
    <r>
      <rPr>
        <b/>
        <sz val="11"/>
        <color theme="1"/>
        <rFont val="Aptos Narrow"/>
        <family val="2"/>
        <scheme val="minor"/>
      </rPr>
      <t>Morning Walk</t>
    </r>
    <r>
      <rPr>
        <sz val="11"/>
        <color theme="1"/>
        <rFont val="Aptos Narrow"/>
        <family val="2"/>
        <scheme val="minor"/>
      </rPr>
      <t xml:space="preserve"> lead to better focus (longer </t>
    </r>
    <r>
      <rPr>
        <b/>
        <sz val="11"/>
        <color theme="1"/>
        <rFont val="Aptos Narrow"/>
        <family val="2"/>
        <scheme val="minor"/>
      </rPr>
      <t>Studying</t>
    </r>
    <r>
      <rPr>
        <sz val="11"/>
        <color theme="1"/>
        <rFont val="Aptos Narrow"/>
        <family val="2"/>
        <scheme val="minor"/>
      </rPr>
      <t xml:space="preserve"> sessions)?</t>
    </r>
  </si>
  <si>
    <r>
      <t>The "Weekend" Effect:</t>
    </r>
    <r>
      <rPr>
        <sz val="11"/>
        <color theme="1"/>
        <rFont val="Aptos Narrow"/>
        <family val="2"/>
        <scheme val="minor"/>
      </rPr>
      <t xml:space="preserve"> How do your habits shift on Saturdays and Sundays? (e.g., Work hours drop to 0, but does Sleep or Music increase?)</t>
    </r>
  </si>
  <si>
    <r>
      <t>Activity Correlators:</t>
    </r>
    <r>
      <rPr>
        <sz val="11"/>
        <color theme="1"/>
        <rFont val="Aptos Narrow"/>
        <family val="2"/>
        <scheme val="minor"/>
      </rPr>
      <t xml:space="preserve"> Is there a relationship between the number of </t>
    </r>
    <r>
      <rPr>
        <b/>
        <sz val="11"/>
        <color theme="1"/>
        <rFont val="Aptos Narrow"/>
        <family val="2"/>
        <scheme val="minor"/>
      </rPr>
      <t>Songs</t>
    </r>
    <r>
      <rPr>
        <sz val="11"/>
        <color theme="1"/>
        <rFont val="Aptos Narrow"/>
        <family val="2"/>
        <scheme val="minor"/>
      </rPr>
      <t xml:space="preserve"> listened to and the amount of </t>
    </r>
    <r>
      <rPr>
        <b/>
        <sz val="11"/>
        <color theme="1"/>
        <rFont val="Aptos Narrow"/>
        <family val="2"/>
        <scheme val="minor"/>
      </rPr>
      <t>Work</t>
    </r>
    <r>
      <rPr>
        <sz val="11"/>
        <color theme="1"/>
        <rFont val="Aptos Narrow"/>
        <family val="2"/>
        <scheme val="minor"/>
      </rPr>
      <t xml:space="preserve"> done? (Music as a focus tool).</t>
    </r>
  </si>
  <si>
    <t>2. Recommended Visualizations</t>
  </si>
  <si>
    <t>Here is how I would structure the Power BI report:</t>
  </si>
  <si>
    <t>A. Executive Summary (The "Pulse" View)</t>
  </si>
  <si>
    <r>
      <t xml:space="preserve">Use </t>
    </r>
    <r>
      <rPr>
        <b/>
        <sz val="11"/>
        <color theme="1"/>
        <rFont val="Aptos Narrow"/>
        <family val="2"/>
        <scheme val="minor"/>
      </rPr>
      <t>KPI Cards</t>
    </r>
    <r>
      <rPr>
        <sz val="11"/>
        <color theme="1"/>
        <rFont val="Aptos Narrow"/>
        <family val="2"/>
        <scheme val="minor"/>
      </rPr>
      <t xml:space="preserve"> at the top to show your 50-day totals and averages:</t>
    </r>
  </si>
  <si>
    <r>
      <t>Average Sleep:</t>
    </r>
    <r>
      <rPr>
        <sz val="11"/>
        <color theme="1"/>
        <rFont val="Aptos Narrow"/>
        <family val="2"/>
        <scheme val="minor"/>
      </rPr>
      <t xml:space="preserve"> To see if you're hitting a healthy target.</t>
    </r>
  </si>
  <si>
    <r>
      <t>Total Distance:</t>
    </r>
    <r>
      <rPr>
        <sz val="11"/>
        <color theme="1"/>
        <rFont val="Aptos Narrow"/>
        <family val="2"/>
        <scheme val="minor"/>
      </rPr>
      <t xml:space="preserve"> Sum of "Morning Walk."</t>
    </r>
  </si>
  <si>
    <r>
      <t>Study Consistency:</t>
    </r>
    <r>
      <rPr>
        <sz val="11"/>
        <color theme="1"/>
        <rFont val="Aptos Narrow"/>
        <family val="2"/>
        <scheme val="minor"/>
      </rPr>
      <t xml:space="preserve"> % of days where Study Time &gt; 0.</t>
    </r>
  </si>
  <si>
    <t>B. Daily Trends (The "Rhythm" View)</t>
  </si>
  <si>
    <r>
      <t>Area Chart:</t>
    </r>
    <r>
      <rPr>
        <sz val="11"/>
        <color theme="1"/>
        <rFont val="Aptos Narrow"/>
        <family val="2"/>
        <scheme val="minor"/>
      </rPr>
      <t xml:space="preserve"> Layer </t>
    </r>
    <r>
      <rPr>
        <b/>
        <sz val="11"/>
        <color theme="1"/>
        <rFont val="Aptos Narrow"/>
        <family val="2"/>
        <scheme val="minor"/>
      </rPr>
      <t>Work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Studying</t>
    </r>
    <r>
      <rPr>
        <sz val="11"/>
        <color theme="1"/>
        <rFont val="Aptos Narrow"/>
        <family val="2"/>
        <scheme val="minor"/>
      </rPr>
      <t xml:space="preserve"> hours over the 50-day timeline. This shows the "ebbs and flows" of your productivity.</t>
    </r>
  </si>
  <si>
    <r>
      <t>Ribbon Chart:</t>
    </r>
    <r>
      <rPr>
        <sz val="11"/>
        <color theme="1"/>
        <rFont val="Aptos Narrow"/>
        <family val="2"/>
        <scheme val="minor"/>
      </rPr>
      <t xml:space="preserve"> Use this for </t>
    </r>
    <r>
      <rPr>
        <b/>
        <sz val="11"/>
        <color theme="1"/>
        <rFont val="Aptos Narrow"/>
        <family val="2"/>
        <scheme val="minor"/>
      </rPr>
      <t>Food (kcal)</t>
    </r>
    <r>
      <rPr>
        <sz val="11"/>
        <color theme="1"/>
        <rFont val="Aptos Narrow"/>
        <family val="2"/>
        <scheme val="minor"/>
      </rPr>
      <t xml:space="preserve"> vs. </t>
    </r>
    <r>
      <rPr>
        <b/>
        <sz val="11"/>
        <color theme="1"/>
        <rFont val="Aptos Narrow"/>
        <family val="2"/>
        <scheme val="minor"/>
      </rPr>
      <t>Morning Walk (km)</t>
    </r>
    <r>
      <rPr>
        <sz val="11"/>
        <color theme="1"/>
        <rFont val="Aptos Narrow"/>
        <family val="2"/>
        <scheme val="minor"/>
      </rPr>
      <t>. It’s a great way to show how health metrics rank against each other over time.</t>
    </r>
  </si>
  <si>
    <t>C. Relationship Analysis (The "Correlation" View)</t>
  </si>
  <si>
    <r>
      <t>Scatter Plot:</t>
    </r>
    <r>
      <rPr>
        <sz val="11"/>
        <color theme="1"/>
        <rFont val="Aptos Narrow"/>
        <family val="2"/>
        <scheme val="minor"/>
      </rPr>
      <t xml:space="preserve"> X-axis = </t>
    </r>
    <r>
      <rPr>
        <b/>
        <sz val="11"/>
        <color theme="1"/>
        <rFont val="Aptos Narrow"/>
        <family val="2"/>
        <scheme val="minor"/>
      </rPr>
      <t>Sleep</t>
    </r>
    <r>
      <rPr>
        <sz val="11"/>
        <color theme="1"/>
        <rFont val="Aptos Narrow"/>
        <family val="2"/>
        <scheme val="minor"/>
      </rPr>
      <t xml:space="preserve">, Y-axis = </t>
    </r>
    <r>
      <rPr>
        <b/>
        <sz val="11"/>
        <color theme="1"/>
        <rFont val="Aptos Narrow"/>
        <family val="2"/>
        <scheme val="minor"/>
      </rPr>
      <t>Studying</t>
    </r>
    <r>
      <rPr>
        <sz val="11"/>
        <color theme="1"/>
        <rFont val="Aptos Narrow"/>
        <family val="2"/>
        <scheme val="minor"/>
      </rPr>
      <t>. Add a trend line. This visually proves if more sleep actually helps you study more.</t>
    </r>
  </si>
  <si>
    <r>
      <t>Decomposition Tree:</t>
    </r>
    <r>
      <rPr>
        <sz val="11"/>
        <color theme="1"/>
        <rFont val="Aptos Narrow"/>
        <family val="2"/>
        <scheme val="minor"/>
      </rPr>
      <t xml:space="preserve"> Start with </t>
    </r>
    <r>
      <rPr>
        <b/>
        <sz val="11"/>
        <color theme="1"/>
        <rFont val="Aptos Narrow"/>
        <family val="2"/>
        <scheme val="minor"/>
      </rPr>
      <t>Studying</t>
    </r>
    <r>
      <rPr>
        <sz val="11"/>
        <color theme="1"/>
        <rFont val="Aptos Narrow"/>
        <family val="2"/>
        <scheme val="minor"/>
      </rPr>
      <t xml:space="preserve"> as the root and break it down by "Day of Week" to see which days are your most academic.</t>
    </r>
  </si>
  <si>
    <t>D. Heatmap (The "Consistency" View)</t>
  </si>
  <si>
    <r>
      <t>Matrix Visual:</t>
    </r>
    <r>
      <rPr>
        <sz val="11"/>
        <color theme="1"/>
        <rFont val="Aptos Narrow"/>
        <family val="2"/>
        <scheme val="minor"/>
      </rPr>
      <t xml:space="preserve"> Use "Day of Week" as rows and "Week Number" as columns. Use conditional formatting (color scales) for </t>
    </r>
    <r>
      <rPr>
        <b/>
        <sz val="11"/>
        <color theme="1"/>
        <rFont val="Aptos Narrow"/>
        <family val="2"/>
        <scheme val="minor"/>
      </rPr>
      <t>Workout</t>
    </r>
    <r>
      <rPr>
        <sz val="11"/>
        <color theme="1"/>
        <rFont val="Aptos Narrow"/>
        <family val="2"/>
        <scheme val="minor"/>
      </rPr>
      <t xml:space="preserve"> minutes or </t>
    </r>
    <r>
      <rPr>
        <b/>
        <sz val="11"/>
        <color theme="1"/>
        <rFont val="Aptos Narrow"/>
        <family val="2"/>
        <scheme val="minor"/>
      </rPr>
      <t>Music</t>
    </r>
    <r>
      <rPr>
        <sz val="11"/>
        <color theme="1"/>
        <rFont val="Aptos Narrow"/>
        <family val="2"/>
        <scheme val="minor"/>
      </rPr>
      <t xml:space="preserve"> songs. Darker colors = more active days.</t>
    </r>
  </si>
  <si>
    <t>3. Pro-Tips for Power BI Portfolio</t>
  </si>
  <si>
    <t>To make this look professional, perform these "Data Transformations" in Power Query first:</t>
  </si>
  <si>
    <r>
      <t>1. Time Conversion:</t>
    </r>
    <r>
      <rPr>
        <sz val="11"/>
        <color theme="1"/>
        <rFont val="Aptos Narrow"/>
        <family val="2"/>
        <scheme val="minor"/>
      </rPr>
      <t xml:space="preserve"> Your "Studying" column is in </t>
    </r>
    <r>
      <rPr>
        <sz val="10"/>
        <color theme="1"/>
        <rFont val="Arial Unicode MS"/>
      </rPr>
      <t>H:MM:SS</t>
    </r>
    <r>
      <rPr>
        <sz val="11"/>
        <color theme="1"/>
        <rFont val="Aptos Narrow"/>
        <family val="2"/>
        <scheme val="minor"/>
      </rPr>
      <t xml:space="preserve">. Convert this to </t>
    </r>
    <r>
      <rPr>
        <b/>
        <sz val="11"/>
        <color theme="1"/>
        <rFont val="Aptos Narrow"/>
        <family val="2"/>
        <scheme val="minor"/>
      </rPr>
      <t>Total Minutes</t>
    </r>
    <r>
      <rPr>
        <sz val="11"/>
        <color theme="1"/>
        <rFont val="Aptos Narrow"/>
        <family val="2"/>
        <scheme val="minor"/>
      </rPr>
      <t xml:space="preserve"> (Decimal) so you can easily sum and average it.</t>
    </r>
  </si>
  <si>
    <r>
      <t>2. Weekday Column:</t>
    </r>
    <r>
      <rPr>
        <sz val="11"/>
        <color theme="1"/>
        <rFont val="Aptos Narrow"/>
        <family val="2"/>
        <scheme val="minor"/>
      </rPr>
      <t xml:space="preserve"> Create a calculated column for </t>
    </r>
    <r>
      <rPr>
        <sz val="10"/>
        <color theme="1"/>
        <rFont val="Arial Unicode MS"/>
      </rPr>
      <t>Day Name</t>
    </r>
    <r>
      <rPr>
        <sz val="11"/>
        <color theme="1"/>
        <rFont val="Aptos Narrow"/>
        <family val="2"/>
        <scheme val="minor"/>
      </rPr>
      <t xml:space="preserve"> (Monday, Tuesday, etc.). This is crucial for seeing weekend vs. weekday patterns.</t>
    </r>
  </si>
  <si>
    <r>
      <t>3. Categorization:</t>
    </r>
    <r>
      <rPr>
        <sz val="11"/>
        <color theme="1"/>
        <rFont val="Aptos Narrow"/>
        <family val="2"/>
        <scheme val="minor"/>
      </rPr>
      <t xml:space="preserve"> Create a "Work Day" vs. "Day Off" toggle based on whether "Work" hours are greater than zero.</t>
    </r>
  </si>
  <si>
    <t>4. Example Dashboard Layout</t>
  </si>
  <si>
    <t>Top Row</t>
  </si>
  <si>
    <t>KPI: Avg Sleep</t>
  </si>
  <si>
    <t>KPI: Total Km</t>
  </si>
  <si>
    <t>KPI: Total Study Hrs</t>
  </si>
  <si>
    <t>Middle</t>
  </si>
  <si>
    <r>
      <t>Line Chart:</t>
    </r>
    <r>
      <rPr>
        <sz val="11"/>
        <color theme="1"/>
        <rFont val="Aptos Narrow"/>
        <family val="2"/>
        <scheme val="minor"/>
      </rPr>
      <t xml:space="preserve"> Study vs. Work over the 50 days</t>
    </r>
  </si>
  <si>
    <r>
      <t>Scatter Plot:</t>
    </r>
    <r>
      <rPr>
        <sz val="11"/>
        <color theme="1"/>
        <rFont val="Aptos Narrow"/>
        <family val="2"/>
        <scheme val="minor"/>
      </rPr>
      <t xml:space="preserve"> Sleep vs. Study Focus</t>
    </r>
  </si>
  <si>
    <t>Bottom</t>
  </si>
  <si>
    <r>
      <t>Bar Chart:</t>
    </r>
    <r>
      <rPr>
        <sz val="11"/>
        <color theme="1"/>
        <rFont val="Aptos Narrow"/>
        <family val="2"/>
        <scheme val="minor"/>
      </rPr>
      <t xml:space="preserve"> Avg Calories by Day of Week</t>
    </r>
  </si>
  <si>
    <r>
      <t>Heatmap:</t>
    </r>
    <r>
      <rPr>
        <sz val="11"/>
        <color theme="1"/>
        <rFont val="Aptos Narrow"/>
        <family val="2"/>
        <scheme val="minor"/>
      </rPr>
      <t xml:space="preserve"> Workout consistency</t>
    </r>
  </si>
  <si>
    <t>I have extracted the data from your image and cleaned it into a structured format (removing units like "hours" and "kcal" to make them numeric) so you can directly import it into Power BI.</t>
  </si>
  <si>
    <t>1. The Cleaned Data</t>
  </si>
  <si>
    <t>You can download the cleaned dataset here: cleaned_routine_data.csv.</t>
  </si>
  <si>
    <t>2. Essential DAX Formulas for your Portfolio</t>
  </si>
  <si>
    <r>
      <t xml:space="preserve">Once you load the data into Power BI, create these </t>
    </r>
    <r>
      <rPr>
        <b/>
        <sz val="11"/>
        <color theme="1"/>
        <rFont val="Aptos Narrow"/>
        <family val="2"/>
        <scheme val="minor"/>
      </rPr>
      <t>Measures</t>
    </r>
    <r>
      <rPr>
        <sz val="11"/>
        <color theme="1"/>
        <rFont val="Aptos Narrow"/>
        <family val="2"/>
        <scheme val="minor"/>
      </rPr>
      <t xml:space="preserve"> to add depth to your analysis:</t>
    </r>
  </si>
  <si>
    <r>
      <t>A. Total Productivity (Combining Work &amp; Study)</t>
    </r>
    <r>
      <rPr>
        <sz val="11"/>
        <color theme="1"/>
        <rFont val="Aptos Narrow"/>
        <family val="2"/>
        <scheme val="minor"/>
      </rPr>
      <t xml:space="preserve"> This shows your total "output" hours per day.</t>
    </r>
  </si>
  <si>
    <t>Code snippet</t>
  </si>
  <si>
    <t>Total Productivity Hrs = SUM('Table'[Work (hrs)]) + (SUM('Table'[Studying (min)]) / 60)</t>
  </si>
  <si>
    <r>
      <t>B. Sleep Consistency (7-Day Rolling Average)</t>
    </r>
    <r>
      <rPr>
        <sz val="11"/>
        <color theme="1"/>
        <rFont val="Aptos Narrow"/>
        <family val="2"/>
        <scheme val="minor"/>
      </rPr>
      <t xml:space="preserve"> Raw daily sleep is volatile. A rolling average shows the actual trend of your rest.</t>
    </r>
  </si>
  <si>
    <t xml:space="preserve">Rolling Avg Sleep = </t>
  </si>
  <si>
    <t>AVERAGEX(</t>
  </si>
  <si>
    <t xml:space="preserve">    DATESINPERIOD('Table'[Date], LASTDATE('Table'[Date]), -7, DAY),</t>
  </si>
  <si>
    <t xml:space="preserve">    'Table'[Sleep (hrs)]</t>
  </si>
  <si>
    <t>)</t>
  </si>
  <si>
    <r>
      <t>C. Focus Score (Custom KPI)</t>
    </r>
    <r>
      <rPr>
        <sz val="11"/>
        <color theme="1"/>
        <rFont val="Aptos Narrow"/>
        <family val="2"/>
        <scheme val="minor"/>
      </rPr>
      <t xml:space="preserve"> A fun metric for your portfolio. This rewards days with high study/work and some physical activity.</t>
    </r>
  </si>
  <si>
    <t xml:space="preserve">Focus Score = </t>
  </si>
  <si>
    <t>(SUM('Table'[Studying (min)]) * 0.5) + (SUM('Table'[Walk (km)]) * 10)</t>
  </si>
  <si>
    <t>3. Advanced Power BI Insights to Build</t>
  </si>
  <si>
    <t>To make your portfolio stand out, try creating these specific views:</t>
  </si>
  <si>
    <r>
      <t>The "Burnout" Detector:</t>
    </r>
    <r>
      <rPr>
        <sz val="11"/>
        <color theme="1"/>
        <rFont val="Aptos Narrow"/>
        <family val="2"/>
        <scheme val="minor"/>
      </rPr>
      <t xml:space="preserve"> Create a scatter plot with </t>
    </r>
    <r>
      <rPr>
        <b/>
        <sz val="11"/>
        <color theme="1"/>
        <rFont val="Aptos Narrow"/>
        <family val="2"/>
        <scheme val="minor"/>
      </rPr>
      <t>Work Hours</t>
    </r>
    <r>
      <rPr>
        <sz val="11"/>
        <color theme="1"/>
        <rFont val="Aptos Narrow"/>
        <family val="2"/>
        <scheme val="minor"/>
      </rPr>
      <t xml:space="preserve"> on the X-axis and </t>
    </r>
    <r>
      <rPr>
        <b/>
        <sz val="11"/>
        <color theme="1"/>
        <rFont val="Aptos Narrow"/>
        <family val="2"/>
        <scheme val="minor"/>
      </rPr>
      <t>Sleep Hours</t>
    </r>
    <r>
      <rPr>
        <sz val="11"/>
        <color theme="1"/>
        <rFont val="Aptos Narrow"/>
        <family val="2"/>
        <scheme val="minor"/>
      </rPr>
      <t xml:space="preserve"> on the Y-axis. Do you see a trend where more work leads to less sleep the following night?</t>
    </r>
  </si>
  <si>
    <r>
      <t>Music vs. Focus:</t>
    </r>
    <r>
      <rPr>
        <sz val="11"/>
        <color theme="1"/>
        <rFont val="Aptos Narrow"/>
        <family val="2"/>
        <scheme val="minor"/>
      </rPr>
      <t xml:space="preserve"> Use a </t>
    </r>
    <r>
      <rPr>
        <b/>
        <sz val="11"/>
        <color theme="1"/>
        <rFont val="Aptos Narrow"/>
        <family val="2"/>
        <scheme val="minor"/>
      </rPr>
      <t>Clustered Column Chart</t>
    </r>
    <r>
      <rPr>
        <sz val="11"/>
        <color theme="1"/>
        <rFont val="Aptos Narrow"/>
        <family val="2"/>
        <scheme val="minor"/>
      </rPr>
      <t xml:space="preserve"> to compare </t>
    </r>
    <r>
      <rPr>
        <b/>
        <sz val="11"/>
        <color theme="1"/>
        <rFont val="Aptos Narrow"/>
        <family val="2"/>
        <scheme val="minor"/>
      </rPr>
      <t>Music (songs)</t>
    </r>
    <r>
      <rPr>
        <sz val="11"/>
        <color theme="1"/>
        <rFont val="Aptos Narrow"/>
        <family val="2"/>
        <scheme val="minor"/>
      </rPr>
      <t xml:space="preserve"> against </t>
    </r>
    <r>
      <rPr>
        <b/>
        <sz val="11"/>
        <color theme="1"/>
        <rFont val="Aptos Narrow"/>
        <family val="2"/>
        <scheme val="minor"/>
      </rPr>
      <t>Studying (min)</t>
    </r>
    <r>
      <rPr>
        <sz val="11"/>
        <color theme="1"/>
        <rFont val="Aptos Narrow"/>
        <family val="2"/>
        <scheme val="minor"/>
      </rPr>
      <t>. Does a high number of songs correlate with your longest study sessions (suggesting music helps you focus)?</t>
    </r>
  </si>
  <si>
    <r>
      <t>The Health-Study Loop:</t>
    </r>
    <r>
      <rPr>
        <sz val="11"/>
        <color theme="1"/>
        <rFont val="Aptos Narrow"/>
        <family val="2"/>
        <scheme val="minor"/>
      </rPr>
      <t xml:space="preserve"> Use a </t>
    </r>
    <r>
      <rPr>
        <b/>
        <sz val="11"/>
        <color theme="1"/>
        <rFont val="Aptos Narrow"/>
        <family val="2"/>
        <scheme val="minor"/>
      </rPr>
      <t>Slicer</t>
    </r>
    <r>
      <rPr>
        <sz val="11"/>
        <color theme="1"/>
        <rFont val="Aptos Narrow"/>
        <family val="2"/>
        <scheme val="minor"/>
      </rPr>
      <t xml:space="preserve"> for "Workout (min)". Filter the dashboard to show only days where you worked out. Does your average study time increase on those days?</t>
    </r>
  </si>
  <si>
    <r>
      <t>Weekday vs. Weekend Profile:</t>
    </r>
    <r>
      <rPr>
        <sz val="11"/>
        <color theme="1"/>
        <rFont val="Aptos Narrow"/>
        <family val="2"/>
        <scheme val="minor"/>
      </rPr>
      <t xml:space="preserve"> Use the </t>
    </r>
    <r>
      <rPr>
        <sz val="10"/>
        <color theme="1"/>
        <rFont val="Arial Unicode MS"/>
      </rPr>
      <t>Date</t>
    </r>
    <r>
      <rPr>
        <sz val="11"/>
        <color theme="1"/>
        <rFont val="Aptos Narrow"/>
        <family val="2"/>
        <scheme val="minor"/>
      </rPr>
      <t xml:space="preserve"> column to create a "Day of Week" calculated column. Use a </t>
    </r>
    <r>
      <rPr>
        <b/>
        <sz val="11"/>
        <color theme="1"/>
        <rFont val="Aptos Narrow"/>
        <family val="2"/>
        <scheme val="minor"/>
      </rPr>
      <t>Radar Chart</t>
    </r>
    <r>
      <rPr>
        <sz val="11"/>
        <color theme="1"/>
        <rFont val="Aptos Narrow"/>
        <family val="2"/>
        <scheme val="minor"/>
      </rPr>
      <t xml:space="preserve"> (you can find this in "Get more visuals") to show how your habits (Sleep, Food, Walk, Music) change shape on Saturdays vs. Tuesdays.</t>
    </r>
  </si>
  <si>
    <t>4. Portfolio Design Tip</t>
  </si>
  <si>
    <r>
      <t xml:space="preserve">In Power BI, use a </t>
    </r>
    <r>
      <rPr>
        <b/>
        <sz val="11"/>
        <color theme="1"/>
        <rFont val="Aptos Narrow"/>
        <family val="2"/>
        <scheme val="minor"/>
      </rPr>
      <t>Dark Mode</t>
    </r>
    <r>
      <rPr>
        <sz val="11"/>
        <color theme="1"/>
        <rFont val="Aptos Narrow"/>
        <family val="2"/>
        <scheme val="minor"/>
      </rPr>
      <t xml:space="preserve"> theme with vibrant accent colors (like Electric Blue or Neon Green) to give it a "Modern Personal Dashboard" look. Ensure you add a </t>
    </r>
    <r>
      <rPr>
        <b/>
        <sz val="11"/>
        <color theme="1"/>
        <rFont val="Aptos Narrow"/>
        <family val="2"/>
        <scheme val="minor"/>
      </rPr>
      <t>"Data Story"</t>
    </r>
    <r>
      <rPr>
        <sz val="11"/>
        <color theme="1"/>
        <rFont val="Aptos Narrow"/>
        <family val="2"/>
        <scheme val="minor"/>
      </rPr>
      <t xml:space="preserve"> text box at the side of your report explaining one major discovery, such as: </t>
    </r>
    <r>
      <rPr>
        <i/>
        <sz val="11"/>
        <color theme="1"/>
        <rFont val="Aptos Narrow"/>
        <family val="2"/>
        <scheme val="minor"/>
      </rPr>
      <t>"I discovered that on days I walk more than 5km, my study time increases by an average of 20%."</t>
    </r>
  </si>
  <si>
    <t>2.14 hours</t>
  </si>
  <si>
    <t>1.59 hours</t>
  </si>
  <si>
    <t>1 hours</t>
  </si>
  <si>
    <t>2 hours</t>
  </si>
  <si>
    <t>3 hours</t>
  </si>
  <si>
    <t>5 hours</t>
  </si>
  <si>
    <t>11 hours</t>
  </si>
  <si>
    <t>13 hours</t>
  </si>
  <si>
    <t>14 hours</t>
  </si>
  <si>
    <t>15 hours</t>
  </si>
  <si>
    <t>16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</si>
</sst>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h]:mm:ss;@"/>
    <numFmt numFmtId="165" formatCode="[$-F400]h:mm:ss\ AM/PM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2" fillId="2" borderId="0" xfId="0" applyFont="1" applyFill="1"/>
    <xf numFmtId="165" fontId="2" fillId="2" borderId="0" xfId="0" applyNumberFormat="1" applyFont="1" applyFill="1"/>
    <xf numFmtId="164" fontId="2" fillId="2" borderId="0" xfId="0" applyNumberFormat="1" applyFont="1" applyFill="1"/>
    <xf numFmtId="14" fontId="2" fillId="2" borderId="0" xfId="0" applyNumberFormat="1" applyFont="1" applyFill="1"/>
    <xf numFmtId="14" fontId="0" fillId="0" borderId="0" xfId="0" applyNumberFormat="1"/>
    <xf numFmtId="0" fontId="0" fillId="0" borderId="0" xfId="1" applyNumberFormat="1" applyFont="1"/>
    <xf numFmtId="0" fontId="3" fillId="3" borderId="0" xfId="0" applyFont="1" applyFill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2"/>
    <xf numFmtId="0" fontId="3" fillId="0" borderId="0" xfId="0" applyFont="1"/>
    <xf numFmtId="0" fontId="6" fillId="0" borderId="0" xfId="0" applyFont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sandbox:/mnt/data/cleaned_routine_data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128A-E46B-47AB-A8C0-6E109F8F9FC2}">
  <dimension ref="A1:V110"/>
  <sheetViews>
    <sheetView tabSelected="1" workbookViewId="0">
      <selection activeCell="J5" sqref="J5"/>
    </sheetView>
  </sheetViews>
  <sheetFormatPr defaultRowHeight="14.4"/>
  <cols>
    <col min="1" max="1" width="11.77734375" style="8" bestFit="1" customWidth="1"/>
    <col min="2" max="2" width="11" bestFit="1" customWidth="1"/>
    <col min="3" max="3" width="10" bestFit="1" customWidth="1"/>
    <col min="4" max="4" width="11.88671875" style="2" bestFit="1" customWidth="1"/>
    <col min="5" max="5" width="17.6640625" bestFit="1" customWidth="1"/>
    <col min="7" max="7" width="11" style="2" bestFit="1" customWidth="1"/>
    <col min="8" max="8" width="12" style="1" bestFit="1" customWidth="1"/>
    <col min="15" max="15" width="36.5546875" customWidth="1"/>
  </cols>
  <sheetData>
    <row r="1" spans="1:16" ht="21">
      <c r="A1" s="7" t="s">
        <v>3</v>
      </c>
      <c r="B1" s="4" t="s">
        <v>0</v>
      </c>
      <c r="C1" s="4" t="s">
        <v>1</v>
      </c>
      <c r="D1" s="5" t="s">
        <v>2</v>
      </c>
      <c r="E1" s="4" t="s">
        <v>6</v>
      </c>
      <c r="F1" s="4" t="s">
        <v>8</v>
      </c>
      <c r="G1" s="5" t="s">
        <v>10</v>
      </c>
      <c r="H1" s="6" t="s">
        <v>13</v>
      </c>
      <c r="P1" t="s">
        <v>182</v>
      </c>
    </row>
    <row r="2" spans="1:16">
      <c r="A2" s="8" t="s">
        <v>76</v>
      </c>
      <c r="B2" s="2" t="s">
        <v>4</v>
      </c>
      <c r="C2" t="s">
        <v>186</v>
      </c>
      <c r="D2" s="2" t="s">
        <v>5</v>
      </c>
      <c r="E2" s="9" t="s">
        <v>149</v>
      </c>
      <c r="F2" t="s">
        <v>9</v>
      </c>
      <c r="G2" s="2" t="s">
        <v>11</v>
      </c>
      <c r="H2" t="s">
        <v>250</v>
      </c>
    </row>
    <row r="3" spans="1:16" ht="23.4">
      <c r="A3" s="8" t="s">
        <v>77</v>
      </c>
      <c r="B3" t="s">
        <v>15</v>
      </c>
      <c r="C3" t="s">
        <v>45</v>
      </c>
      <c r="D3" s="2" t="s">
        <v>7</v>
      </c>
      <c r="E3" s="3" t="s">
        <v>150</v>
      </c>
      <c r="F3" t="s">
        <v>14</v>
      </c>
      <c r="G3" s="2" t="s">
        <v>12</v>
      </c>
      <c r="H3" t="s">
        <v>251</v>
      </c>
      <c r="O3" s="11" t="s">
        <v>188</v>
      </c>
    </row>
    <row r="4" spans="1:16">
      <c r="A4" s="8" t="s">
        <v>78</v>
      </c>
      <c r="B4" t="s">
        <v>17</v>
      </c>
      <c r="C4" t="s">
        <v>46</v>
      </c>
      <c r="D4" s="2" t="s">
        <v>5</v>
      </c>
      <c r="E4" t="s">
        <v>151</v>
      </c>
      <c r="F4" t="s">
        <v>18</v>
      </c>
      <c r="G4" s="2" t="s">
        <v>16</v>
      </c>
      <c r="H4" t="s">
        <v>252</v>
      </c>
    </row>
    <row r="5" spans="1:16">
      <c r="A5" s="8" t="s">
        <v>79</v>
      </c>
      <c r="B5" t="s">
        <v>4</v>
      </c>
      <c r="C5" t="s">
        <v>47</v>
      </c>
      <c r="D5" s="2" t="s">
        <v>7</v>
      </c>
      <c r="E5" t="s">
        <v>152</v>
      </c>
      <c r="F5" t="s">
        <v>19</v>
      </c>
      <c r="G5" s="2" t="s">
        <v>20</v>
      </c>
      <c r="H5" t="s">
        <v>250</v>
      </c>
      <c r="O5" t="s">
        <v>189</v>
      </c>
    </row>
    <row r="6" spans="1:16">
      <c r="A6" s="8" t="s">
        <v>80</v>
      </c>
      <c r="B6" t="s">
        <v>17</v>
      </c>
      <c r="C6" t="s">
        <v>48</v>
      </c>
      <c r="D6" s="2" t="s">
        <v>5</v>
      </c>
      <c r="E6" t="s">
        <v>153</v>
      </c>
      <c r="F6" t="s">
        <v>22</v>
      </c>
      <c r="G6" s="2" t="s">
        <v>21</v>
      </c>
      <c r="H6" t="s">
        <v>251</v>
      </c>
      <c r="O6" s="12"/>
    </row>
    <row r="7" spans="1:16">
      <c r="A7" s="8" t="s">
        <v>81</v>
      </c>
      <c r="B7" t="s">
        <v>15</v>
      </c>
      <c r="C7" t="s">
        <v>49</v>
      </c>
      <c r="D7" s="2" t="s">
        <v>5</v>
      </c>
      <c r="E7" t="s">
        <v>154</v>
      </c>
      <c r="F7" t="s">
        <v>24</v>
      </c>
      <c r="G7" s="2" t="s">
        <v>23</v>
      </c>
      <c r="H7" t="s">
        <v>253</v>
      </c>
      <c r="O7" s="13" t="s">
        <v>190</v>
      </c>
    </row>
    <row r="8" spans="1:16">
      <c r="A8" s="8" t="s">
        <v>82</v>
      </c>
      <c r="B8" t="s">
        <v>12</v>
      </c>
      <c r="C8" t="s">
        <v>50</v>
      </c>
      <c r="D8" s="2" t="s">
        <v>25</v>
      </c>
      <c r="E8" t="s">
        <v>152</v>
      </c>
      <c r="F8" t="s">
        <v>26</v>
      </c>
      <c r="G8" s="2" t="s">
        <v>20</v>
      </c>
      <c r="H8" t="s">
        <v>250</v>
      </c>
      <c r="O8" s="12"/>
    </row>
    <row r="9" spans="1:16">
      <c r="A9" s="8" t="s">
        <v>83</v>
      </c>
      <c r="B9" t="s">
        <v>11</v>
      </c>
      <c r="C9" t="s">
        <v>51</v>
      </c>
      <c r="D9" s="2" t="s">
        <v>27</v>
      </c>
      <c r="E9" t="s">
        <v>153</v>
      </c>
      <c r="F9" t="s">
        <v>29</v>
      </c>
      <c r="G9" s="2" t="s">
        <v>28</v>
      </c>
      <c r="H9" t="s">
        <v>251</v>
      </c>
      <c r="O9" s="13" t="s">
        <v>191</v>
      </c>
    </row>
    <row r="10" spans="1:16">
      <c r="A10" s="8" t="s">
        <v>84</v>
      </c>
      <c r="B10" t="s">
        <v>28</v>
      </c>
      <c r="C10" t="s">
        <v>31</v>
      </c>
      <c r="D10" s="2" t="s">
        <v>25</v>
      </c>
      <c r="E10" t="s">
        <v>155</v>
      </c>
      <c r="F10" t="s">
        <v>30</v>
      </c>
      <c r="G10" s="2" t="s">
        <v>12</v>
      </c>
      <c r="H10" t="s">
        <v>254</v>
      </c>
      <c r="O10" s="12"/>
    </row>
    <row r="11" spans="1:16">
      <c r="A11" s="8" t="s">
        <v>85</v>
      </c>
      <c r="B11" t="s">
        <v>11</v>
      </c>
      <c r="C11" t="s">
        <v>52</v>
      </c>
      <c r="D11" s="2" t="s">
        <v>25</v>
      </c>
      <c r="E11" t="s">
        <v>156</v>
      </c>
      <c r="F11" t="s">
        <v>34</v>
      </c>
      <c r="G11" s="2" t="s">
        <v>16</v>
      </c>
      <c r="H11" t="s">
        <v>250</v>
      </c>
      <c r="O11" s="13" t="s">
        <v>192</v>
      </c>
    </row>
    <row r="12" spans="1:16">
      <c r="A12" s="8" t="s">
        <v>86</v>
      </c>
      <c r="B12" t="s">
        <v>15</v>
      </c>
      <c r="C12" t="s">
        <v>53</v>
      </c>
      <c r="D12" s="2" t="s">
        <v>32</v>
      </c>
      <c r="E12" t="s">
        <v>157</v>
      </c>
      <c r="F12" t="s">
        <v>33</v>
      </c>
      <c r="G12" s="2" t="s">
        <v>20</v>
      </c>
      <c r="H12" t="s">
        <v>251</v>
      </c>
      <c r="O12" s="12"/>
    </row>
    <row r="13" spans="1:16">
      <c r="A13" s="8" t="s">
        <v>87</v>
      </c>
      <c r="B13" t="s">
        <v>11</v>
      </c>
      <c r="C13" t="s">
        <v>54</v>
      </c>
      <c r="D13" s="2" t="s">
        <v>25</v>
      </c>
      <c r="E13" t="s">
        <v>153</v>
      </c>
      <c r="F13" t="s">
        <v>35</v>
      </c>
      <c r="G13" s="2" t="s">
        <v>21</v>
      </c>
      <c r="H13" t="s">
        <v>16</v>
      </c>
      <c r="O13" s="13" t="s">
        <v>193</v>
      </c>
    </row>
    <row r="14" spans="1:16">
      <c r="A14" s="8" t="s">
        <v>88</v>
      </c>
      <c r="B14" t="s">
        <v>36</v>
      </c>
      <c r="C14" t="s">
        <v>55</v>
      </c>
      <c r="D14" s="2" t="s">
        <v>25</v>
      </c>
      <c r="E14" t="s">
        <v>157</v>
      </c>
      <c r="F14" t="s">
        <v>37</v>
      </c>
      <c r="G14" s="2" t="s">
        <v>28</v>
      </c>
      <c r="H14" t="s">
        <v>250</v>
      </c>
    </row>
    <row r="15" spans="1:16">
      <c r="A15" s="8" t="s">
        <v>89</v>
      </c>
      <c r="B15" t="s">
        <v>11</v>
      </c>
      <c r="C15" t="s">
        <v>56</v>
      </c>
      <c r="D15" s="2" t="s">
        <v>32</v>
      </c>
      <c r="E15" t="s">
        <v>158</v>
      </c>
      <c r="F15" t="s">
        <v>38</v>
      </c>
      <c r="G15" s="2" t="s">
        <v>20</v>
      </c>
      <c r="H15" t="s">
        <v>251</v>
      </c>
    </row>
    <row r="16" spans="1:16">
      <c r="A16" s="8" t="s">
        <v>90</v>
      </c>
      <c r="B16" t="s">
        <v>28</v>
      </c>
      <c r="C16" t="s">
        <v>57</v>
      </c>
      <c r="D16" s="2" t="s">
        <v>39</v>
      </c>
      <c r="E16" t="s">
        <v>159</v>
      </c>
      <c r="F16" t="s">
        <v>40</v>
      </c>
      <c r="G16" s="2" t="s">
        <v>28</v>
      </c>
      <c r="H16" t="s">
        <v>255</v>
      </c>
    </row>
    <row r="17" spans="1:15" ht="23.4">
      <c r="A17" s="8" t="s">
        <v>91</v>
      </c>
      <c r="B17" t="s">
        <v>11</v>
      </c>
      <c r="C17" t="s">
        <v>58</v>
      </c>
      <c r="D17" s="2" t="s">
        <v>25</v>
      </c>
      <c r="E17" t="s">
        <v>160</v>
      </c>
      <c r="F17" t="s">
        <v>37</v>
      </c>
      <c r="G17" s="2" t="s">
        <v>12</v>
      </c>
      <c r="H17" t="s">
        <v>250</v>
      </c>
      <c r="O17" s="11" t="s">
        <v>194</v>
      </c>
    </row>
    <row r="18" spans="1:15">
      <c r="A18" s="8" t="s">
        <v>92</v>
      </c>
      <c r="B18" t="s">
        <v>28</v>
      </c>
      <c r="C18" t="s">
        <v>59</v>
      </c>
      <c r="D18" s="2" t="s">
        <v>25</v>
      </c>
      <c r="E18" t="s">
        <v>161</v>
      </c>
      <c r="F18" t="s">
        <v>41</v>
      </c>
      <c r="G18" s="2" t="s">
        <v>16</v>
      </c>
      <c r="H18" t="s">
        <v>251</v>
      </c>
    </row>
    <row r="19" spans="1:15">
      <c r="A19" s="8" t="s">
        <v>93</v>
      </c>
      <c r="B19" t="s">
        <v>28</v>
      </c>
      <c r="C19" t="s">
        <v>60</v>
      </c>
      <c r="D19" s="2" t="s">
        <v>5</v>
      </c>
      <c r="E19" t="s">
        <v>162</v>
      </c>
      <c r="F19" t="s">
        <v>42</v>
      </c>
      <c r="G19" s="2" t="s">
        <v>20</v>
      </c>
      <c r="H19" t="s">
        <v>43</v>
      </c>
      <c r="O19" t="s">
        <v>195</v>
      </c>
    </row>
    <row r="20" spans="1:15">
      <c r="A20" s="8" t="s">
        <v>94</v>
      </c>
      <c r="B20" t="s">
        <v>43</v>
      </c>
      <c r="C20" t="s">
        <v>61</v>
      </c>
      <c r="D20" s="2" t="s">
        <v>25</v>
      </c>
      <c r="E20" t="s">
        <v>163</v>
      </c>
      <c r="F20" t="s">
        <v>34</v>
      </c>
      <c r="G20" s="2" t="s">
        <v>21</v>
      </c>
      <c r="H20" t="s">
        <v>250</v>
      </c>
    </row>
    <row r="21" spans="1:15" ht="18">
      <c r="A21" s="8" t="s">
        <v>95</v>
      </c>
      <c r="B21" t="s">
        <v>12</v>
      </c>
      <c r="C21" t="s">
        <v>58</v>
      </c>
      <c r="D21" s="2" t="s">
        <v>32</v>
      </c>
      <c r="E21" t="s">
        <v>164</v>
      </c>
      <c r="F21" t="s">
        <v>37</v>
      </c>
      <c r="G21" s="2" t="s">
        <v>28</v>
      </c>
      <c r="H21" t="s">
        <v>251</v>
      </c>
      <c r="O21" s="14" t="s">
        <v>196</v>
      </c>
    </row>
    <row r="22" spans="1:15">
      <c r="A22" s="8" t="s">
        <v>96</v>
      </c>
      <c r="B22" t="s">
        <v>28</v>
      </c>
      <c r="C22" t="s">
        <v>62</v>
      </c>
      <c r="D22" s="2" t="s">
        <v>32</v>
      </c>
      <c r="E22" t="s">
        <v>165</v>
      </c>
      <c r="F22" t="s">
        <v>44</v>
      </c>
      <c r="G22" s="2" t="s">
        <v>20</v>
      </c>
      <c r="H22" t="s">
        <v>11</v>
      </c>
    </row>
    <row r="23" spans="1:15">
      <c r="A23" s="8" t="s">
        <v>97</v>
      </c>
      <c r="B23" t="s">
        <v>28</v>
      </c>
      <c r="C23" t="s">
        <v>63</v>
      </c>
      <c r="D23" s="2" t="s">
        <v>25</v>
      </c>
      <c r="E23" t="s">
        <v>166</v>
      </c>
      <c r="F23" t="s">
        <v>35</v>
      </c>
      <c r="G23" s="2" t="s">
        <v>11</v>
      </c>
      <c r="H23" t="s">
        <v>250</v>
      </c>
      <c r="O23" t="s">
        <v>197</v>
      </c>
    </row>
    <row r="24" spans="1:15">
      <c r="A24" s="8" t="s">
        <v>98</v>
      </c>
      <c r="B24" t="s">
        <v>36</v>
      </c>
      <c r="C24" t="s">
        <v>64</v>
      </c>
      <c r="D24" s="2" t="s">
        <v>32</v>
      </c>
      <c r="E24" t="s">
        <v>166</v>
      </c>
      <c r="F24" t="s">
        <v>34</v>
      </c>
      <c r="G24" s="2" t="s">
        <v>21</v>
      </c>
      <c r="H24" t="s">
        <v>251</v>
      </c>
      <c r="O24" s="12"/>
    </row>
    <row r="25" spans="1:15">
      <c r="A25" s="8" t="s">
        <v>99</v>
      </c>
      <c r="B25" t="s">
        <v>67</v>
      </c>
      <c r="C25" t="s">
        <v>65</v>
      </c>
      <c r="D25" s="2" t="s">
        <v>32</v>
      </c>
      <c r="E25" t="s">
        <v>167</v>
      </c>
      <c r="F25" t="s">
        <v>66</v>
      </c>
      <c r="G25" s="2" t="s">
        <v>20</v>
      </c>
      <c r="H25" t="s">
        <v>28</v>
      </c>
      <c r="O25" s="13" t="s">
        <v>198</v>
      </c>
    </row>
    <row r="26" spans="1:15">
      <c r="A26" s="8" t="s">
        <v>100</v>
      </c>
      <c r="B26" t="s">
        <v>11</v>
      </c>
      <c r="C26" t="s">
        <v>70</v>
      </c>
      <c r="D26" s="2" t="s">
        <v>39</v>
      </c>
      <c r="E26" t="s">
        <v>168</v>
      </c>
      <c r="F26" t="s">
        <v>68</v>
      </c>
      <c r="G26" s="2" t="s">
        <v>20</v>
      </c>
      <c r="H26" t="s">
        <v>250</v>
      </c>
      <c r="O26" s="12"/>
    </row>
    <row r="27" spans="1:15">
      <c r="A27" s="8" t="s">
        <v>101</v>
      </c>
      <c r="B27" t="s">
        <v>23</v>
      </c>
      <c r="C27" t="s">
        <v>71</v>
      </c>
      <c r="D27" s="2" t="s">
        <v>25</v>
      </c>
      <c r="E27" t="s">
        <v>166</v>
      </c>
      <c r="F27" t="s">
        <v>69</v>
      </c>
      <c r="G27" s="2" t="s">
        <v>21</v>
      </c>
      <c r="H27" t="s">
        <v>251</v>
      </c>
      <c r="O27" s="13" t="s">
        <v>199</v>
      </c>
    </row>
    <row r="28" spans="1:15">
      <c r="A28" s="8" t="s">
        <v>102</v>
      </c>
      <c r="B28" t="s">
        <v>28</v>
      </c>
      <c r="C28" t="s">
        <v>72</v>
      </c>
      <c r="D28" s="2" t="s">
        <v>27</v>
      </c>
      <c r="E28" t="s">
        <v>164</v>
      </c>
      <c r="F28" t="s">
        <v>24</v>
      </c>
      <c r="G28" s="2" t="s">
        <v>28</v>
      </c>
      <c r="H28" t="s">
        <v>12</v>
      </c>
      <c r="O28" s="12"/>
    </row>
    <row r="29" spans="1:15">
      <c r="A29" s="8" t="s">
        <v>103</v>
      </c>
      <c r="B29" t="s">
        <v>11</v>
      </c>
      <c r="C29" t="s">
        <v>73</v>
      </c>
      <c r="D29" s="2" t="s">
        <v>5</v>
      </c>
      <c r="E29" t="s">
        <v>169</v>
      </c>
      <c r="F29" t="s">
        <v>35</v>
      </c>
      <c r="G29" s="2" t="s">
        <v>20</v>
      </c>
      <c r="H29" t="s">
        <v>250</v>
      </c>
      <c r="O29" s="13" t="s">
        <v>200</v>
      </c>
    </row>
    <row r="30" spans="1:15">
      <c r="A30" s="8" t="s">
        <v>104</v>
      </c>
      <c r="B30" t="s">
        <v>11</v>
      </c>
      <c r="C30" t="s">
        <v>75</v>
      </c>
      <c r="D30" s="2" t="s">
        <v>25</v>
      </c>
      <c r="E30" t="s">
        <v>149</v>
      </c>
      <c r="F30" t="s">
        <v>74</v>
      </c>
      <c r="G30" s="2" t="s">
        <v>28</v>
      </c>
      <c r="H30" t="s">
        <v>251</v>
      </c>
    </row>
    <row r="31" spans="1:15" ht="18">
      <c r="A31" s="8" t="s">
        <v>105</v>
      </c>
      <c r="B31" t="s">
        <v>23</v>
      </c>
      <c r="C31" t="s">
        <v>108</v>
      </c>
      <c r="D31" s="2" t="s">
        <v>25</v>
      </c>
      <c r="E31" t="s">
        <v>170</v>
      </c>
      <c r="F31" t="s">
        <v>107</v>
      </c>
      <c r="G31" s="2" t="s">
        <v>12</v>
      </c>
      <c r="H31" t="s">
        <v>23</v>
      </c>
      <c r="O31" s="14" t="s">
        <v>201</v>
      </c>
    </row>
    <row r="32" spans="1:15">
      <c r="A32" s="8" t="s">
        <v>106</v>
      </c>
      <c r="B32" t="s">
        <v>12</v>
      </c>
      <c r="C32" t="s">
        <v>109</v>
      </c>
      <c r="D32" s="2" t="s">
        <v>32</v>
      </c>
      <c r="E32" t="s">
        <v>171</v>
      </c>
      <c r="F32" t="s">
        <v>66</v>
      </c>
      <c r="G32" s="2" t="s">
        <v>16</v>
      </c>
      <c r="H32" t="s">
        <v>250</v>
      </c>
      <c r="O32" s="12"/>
    </row>
    <row r="33" spans="1:15">
      <c r="A33" s="8" t="s">
        <v>110</v>
      </c>
      <c r="B33" t="s">
        <v>36</v>
      </c>
      <c r="C33" t="s">
        <v>111</v>
      </c>
      <c r="D33" s="2" t="s">
        <v>25</v>
      </c>
      <c r="E33" t="s">
        <v>172</v>
      </c>
      <c r="F33" t="s">
        <v>112</v>
      </c>
      <c r="G33" s="2" t="s">
        <v>20</v>
      </c>
      <c r="H33" t="s">
        <v>251</v>
      </c>
      <c r="O33" s="13" t="s">
        <v>202</v>
      </c>
    </row>
    <row r="34" spans="1:15">
      <c r="A34" s="8" t="s">
        <v>114</v>
      </c>
      <c r="B34" t="s">
        <v>28</v>
      </c>
      <c r="C34" t="s">
        <v>113</v>
      </c>
      <c r="D34" s="2" t="s">
        <v>25</v>
      </c>
      <c r="E34" t="s">
        <v>166</v>
      </c>
      <c r="F34" t="s">
        <v>26</v>
      </c>
      <c r="G34" s="2" t="s">
        <v>21</v>
      </c>
      <c r="H34" t="s">
        <v>256</v>
      </c>
      <c r="O34" s="12"/>
    </row>
    <row r="35" spans="1:15">
      <c r="A35" s="8" t="s">
        <v>115</v>
      </c>
      <c r="B35" t="s">
        <v>11</v>
      </c>
      <c r="C35" t="s">
        <v>116</v>
      </c>
      <c r="D35" s="2" t="s">
        <v>32</v>
      </c>
      <c r="E35" t="s">
        <v>173</v>
      </c>
      <c r="F35" t="s">
        <v>18</v>
      </c>
      <c r="G35" s="2" t="s">
        <v>12</v>
      </c>
      <c r="H35" t="s">
        <v>250</v>
      </c>
      <c r="O35" s="13" t="s">
        <v>203</v>
      </c>
    </row>
    <row r="36" spans="1:15">
      <c r="A36" s="8" t="s">
        <v>117</v>
      </c>
      <c r="B36" t="s">
        <v>28</v>
      </c>
      <c r="C36" t="s">
        <v>119</v>
      </c>
      <c r="D36" s="2" t="s">
        <v>25</v>
      </c>
      <c r="E36" t="s">
        <v>174</v>
      </c>
      <c r="F36" t="s">
        <v>26</v>
      </c>
      <c r="G36" s="2" t="s">
        <v>20</v>
      </c>
      <c r="H36" t="s">
        <v>251</v>
      </c>
    </row>
    <row r="37" spans="1:15" ht="18">
      <c r="A37" s="8" t="s">
        <v>118</v>
      </c>
      <c r="B37" t="s">
        <v>11</v>
      </c>
      <c r="C37" t="s">
        <v>60</v>
      </c>
      <c r="D37" s="2" t="s">
        <v>5</v>
      </c>
      <c r="E37" t="s">
        <v>162</v>
      </c>
      <c r="F37" t="s">
        <v>42</v>
      </c>
      <c r="G37" s="2" t="s">
        <v>28</v>
      </c>
      <c r="H37" t="s">
        <v>21</v>
      </c>
      <c r="O37" s="14" t="s">
        <v>204</v>
      </c>
    </row>
    <row r="38" spans="1:15">
      <c r="A38" s="8" t="s">
        <v>121</v>
      </c>
      <c r="B38" t="s">
        <v>43</v>
      </c>
      <c r="C38" t="s">
        <v>120</v>
      </c>
      <c r="D38" s="2" t="s">
        <v>25</v>
      </c>
      <c r="E38" t="s">
        <v>166</v>
      </c>
      <c r="F38" t="s">
        <v>35</v>
      </c>
      <c r="G38" s="2" t="s">
        <v>12</v>
      </c>
      <c r="H38" t="s">
        <v>250</v>
      </c>
      <c r="O38" s="12"/>
    </row>
    <row r="39" spans="1:15">
      <c r="A39" s="8" t="s">
        <v>122</v>
      </c>
      <c r="B39" t="s">
        <v>11</v>
      </c>
      <c r="C39" t="s">
        <v>123</v>
      </c>
      <c r="D39" s="2" t="s">
        <v>5</v>
      </c>
      <c r="E39" t="s">
        <v>175</v>
      </c>
      <c r="F39" t="s">
        <v>34</v>
      </c>
      <c r="G39" s="2" t="s">
        <v>16</v>
      </c>
      <c r="H39" t="s">
        <v>251</v>
      </c>
      <c r="O39" s="13" t="s">
        <v>205</v>
      </c>
    </row>
    <row r="40" spans="1:15">
      <c r="A40" s="8" t="s">
        <v>124</v>
      </c>
      <c r="B40" t="s">
        <v>23</v>
      </c>
      <c r="C40" t="s">
        <v>125</v>
      </c>
      <c r="D40" s="2" t="s">
        <v>7</v>
      </c>
      <c r="E40" t="s">
        <v>176</v>
      </c>
      <c r="F40" t="s">
        <v>74</v>
      </c>
      <c r="G40" s="2" t="s">
        <v>20</v>
      </c>
      <c r="H40" t="s">
        <v>257</v>
      </c>
      <c r="O40" s="12"/>
    </row>
    <row r="41" spans="1:15">
      <c r="A41" s="8" t="s">
        <v>126</v>
      </c>
      <c r="B41" t="s">
        <v>43</v>
      </c>
      <c r="C41" t="s">
        <v>127</v>
      </c>
      <c r="D41" s="2" t="s">
        <v>5</v>
      </c>
      <c r="E41" t="s">
        <v>177</v>
      </c>
      <c r="F41" t="s">
        <v>128</v>
      </c>
      <c r="G41" s="2" t="s">
        <v>129</v>
      </c>
      <c r="H41" t="s">
        <v>250</v>
      </c>
      <c r="O41" s="13" t="s">
        <v>206</v>
      </c>
    </row>
    <row r="42" spans="1:15">
      <c r="A42" s="8" t="s">
        <v>130</v>
      </c>
      <c r="B42" t="s">
        <v>11</v>
      </c>
      <c r="C42" t="s">
        <v>131</v>
      </c>
      <c r="D42" s="2" t="s">
        <v>5</v>
      </c>
      <c r="E42" t="s">
        <v>166</v>
      </c>
      <c r="F42" t="s">
        <v>35</v>
      </c>
      <c r="G42" s="2" t="s">
        <v>12</v>
      </c>
      <c r="H42" t="s">
        <v>251</v>
      </c>
    </row>
    <row r="43" spans="1:15" ht="18">
      <c r="A43" s="8" t="s">
        <v>132</v>
      </c>
      <c r="B43" t="s">
        <v>11</v>
      </c>
      <c r="C43" t="s">
        <v>133</v>
      </c>
      <c r="D43" s="2" t="s">
        <v>134</v>
      </c>
      <c r="E43" t="s">
        <v>178</v>
      </c>
      <c r="F43" t="s">
        <v>69</v>
      </c>
      <c r="G43" s="2" t="s">
        <v>20</v>
      </c>
      <c r="H43" t="s">
        <v>258</v>
      </c>
      <c r="O43" s="14" t="s">
        <v>207</v>
      </c>
    </row>
    <row r="44" spans="1:15">
      <c r="A44" s="8" t="s">
        <v>135</v>
      </c>
      <c r="B44" t="s">
        <v>12</v>
      </c>
      <c r="C44" t="s">
        <v>136</v>
      </c>
      <c r="D44" s="2" t="s">
        <v>32</v>
      </c>
      <c r="E44" t="s">
        <v>149</v>
      </c>
      <c r="F44" t="s">
        <v>112</v>
      </c>
      <c r="G44" s="2" t="s">
        <v>28</v>
      </c>
      <c r="H44" t="s">
        <v>250</v>
      </c>
      <c r="O44" s="12"/>
    </row>
    <row r="45" spans="1:15">
      <c r="A45" s="8" t="s">
        <v>139</v>
      </c>
      <c r="B45" t="s">
        <v>11</v>
      </c>
      <c r="C45" t="s">
        <v>138</v>
      </c>
      <c r="D45" s="2" t="s">
        <v>25</v>
      </c>
      <c r="E45" t="s">
        <v>177</v>
      </c>
      <c r="F45" t="s">
        <v>137</v>
      </c>
      <c r="G45" s="2" t="s">
        <v>12</v>
      </c>
      <c r="H45" t="s">
        <v>251</v>
      </c>
      <c r="O45" s="13" t="s">
        <v>208</v>
      </c>
    </row>
    <row r="46" spans="1:15">
      <c r="A46" s="8" t="s">
        <v>140</v>
      </c>
      <c r="B46" t="s">
        <v>43</v>
      </c>
      <c r="C46" t="s">
        <v>143</v>
      </c>
      <c r="D46" s="2" t="s">
        <v>32</v>
      </c>
      <c r="E46" t="s">
        <v>179</v>
      </c>
      <c r="F46" t="s">
        <v>66</v>
      </c>
      <c r="G46" s="2" t="s">
        <v>16</v>
      </c>
      <c r="H46" t="s">
        <v>259</v>
      </c>
    </row>
    <row r="47" spans="1:15">
      <c r="A47" s="8" t="s">
        <v>141</v>
      </c>
      <c r="B47" t="s">
        <v>28</v>
      </c>
      <c r="C47" t="s">
        <v>144</v>
      </c>
      <c r="D47" s="2" t="s">
        <v>25</v>
      </c>
      <c r="E47" t="s">
        <v>180</v>
      </c>
      <c r="F47" t="s">
        <v>145</v>
      </c>
      <c r="G47" s="2" t="s">
        <v>20</v>
      </c>
      <c r="H47" t="s">
        <v>250</v>
      </c>
    </row>
    <row r="48" spans="1:15">
      <c r="A48" s="8" t="s">
        <v>142</v>
      </c>
      <c r="B48" t="s">
        <v>11</v>
      </c>
      <c r="C48" t="s">
        <v>183</v>
      </c>
      <c r="D48" s="2" t="s">
        <v>32</v>
      </c>
      <c r="E48" t="s">
        <v>181</v>
      </c>
      <c r="F48" t="s">
        <v>19</v>
      </c>
      <c r="G48" s="2" t="s">
        <v>21</v>
      </c>
      <c r="H48" t="s">
        <v>251</v>
      </c>
    </row>
    <row r="49" spans="1:18" ht="23.4">
      <c r="A49" s="8" t="s">
        <v>146</v>
      </c>
      <c r="B49" t="s">
        <v>28</v>
      </c>
      <c r="C49" t="s">
        <v>119</v>
      </c>
      <c r="D49" s="2" t="s">
        <v>5</v>
      </c>
      <c r="E49" t="s">
        <v>177</v>
      </c>
      <c r="F49" t="s">
        <v>34</v>
      </c>
      <c r="G49" s="2" t="s">
        <v>12</v>
      </c>
      <c r="H49" t="s">
        <v>260</v>
      </c>
      <c r="O49" s="11" t="s">
        <v>209</v>
      </c>
    </row>
    <row r="50" spans="1:18">
      <c r="A50" s="8" t="s">
        <v>147</v>
      </c>
      <c r="B50" t="s">
        <v>15</v>
      </c>
      <c r="C50" t="s">
        <v>120</v>
      </c>
      <c r="D50" s="2" t="s">
        <v>7</v>
      </c>
      <c r="E50" t="s">
        <v>185</v>
      </c>
      <c r="F50" t="s">
        <v>35</v>
      </c>
      <c r="G50" s="2" t="s">
        <v>20</v>
      </c>
      <c r="H50" t="s">
        <v>250</v>
      </c>
    </row>
    <row r="51" spans="1:18">
      <c r="A51" s="8" t="s">
        <v>148</v>
      </c>
      <c r="B51" t="s">
        <v>11</v>
      </c>
      <c r="C51" t="s">
        <v>184</v>
      </c>
      <c r="D51" s="2" t="s">
        <v>25</v>
      </c>
      <c r="E51" t="s">
        <v>163</v>
      </c>
      <c r="F51" t="s">
        <v>19</v>
      </c>
      <c r="G51" s="2" t="s">
        <v>28</v>
      </c>
      <c r="H51" t="s">
        <v>251</v>
      </c>
      <c r="O51" t="s">
        <v>210</v>
      </c>
    </row>
    <row r="52" spans="1:18" ht="21">
      <c r="A52" s="7" t="s">
        <v>187</v>
      </c>
      <c r="B52" s="10" cm="1">
        <f t="array" ref="B52">SUM(VALUE(_xlfn.TEXTBEFORE(B2:B51, " ")))</f>
        <v>367</v>
      </c>
      <c r="C52" s="10" cm="1">
        <f t="array" ref="C52">SUM(IFERROR(VALUE(_xlfn.TEXTBEFORE(C2:C51, " ")), 0))</f>
        <v>69644</v>
      </c>
      <c r="D52" s="10" cm="1">
        <f t="array" ref="D52">SUM(IFERROR(VALUE(_xlfn.TEXTBEFORE(D2:D51, " ")), 0))</f>
        <v>610</v>
      </c>
      <c r="E52" s="10" cm="1">
        <f t="array" ref="E52">SUM(IFERROR(VALUE(_xlfn.TEXTBEFORE(E2:E51, " ")), 0))</f>
        <v>188.19999999999996</v>
      </c>
      <c r="F52" s="10" cm="1">
        <f t="array" ref="F52">SUM(IFERROR(VALUE(_xlfn.TEXTBEFORE(F2:F51, " ")), 0))</f>
        <v>1024</v>
      </c>
      <c r="G52" s="10" cm="1">
        <f t="array" ref="G52">SUM(IFERROR(VALUE(_xlfn.TEXTBEFORE(G2:G51, " ")), 0))</f>
        <v>297</v>
      </c>
      <c r="H52" s="10">
        <f>SUM(H2:H51)</f>
        <v>0</v>
      </c>
      <c r="O52" s="12"/>
    </row>
    <row r="53" spans="1:18">
      <c r="O53" s="13" t="s">
        <v>211</v>
      </c>
    </row>
    <row r="54" spans="1:18">
      <c r="O54" s="12"/>
    </row>
    <row r="55" spans="1:18">
      <c r="O55" s="13" t="s">
        <v>212</v>
      </c>
    </row>
    <row r="56" spans="1:18">
      <c r="O56" s="12"/>
    </row>
    <row r="57" spans="1:18">
      <c r="O57" s="13" t="s">
        <v>213</v>
      </c>
    </row>
    <row r="61" spans="1:18" ht="23.4">
      <c r="O61" s="11" t="s">
        <v>214</v>
      </c>
    </row>
    <row r="63" spans="1:18" ht="28.8">
      <c r="F63" t="s">
        <v>225</v>
      </c>
      <c r="O63" s="15" t="s">
        <v>215</v>
      </c>
      <c r="P63" s="15" t="s">
        <v>216</v>
      </c>
      <c r="Q63" s="15" t="s">
        <v>217</v>
      </c>
      <c r="R63" s="15" t="s">
        <v>218</v>
      </c>
    </row>
    <row r="64" spans="1:18" ht="86.4">
      <c r="O64" s="16" t="s">
        <v>219</v>
      </c>
      <c r="P64" s="16" t="s">
        <v>220</v>
      </c>
      <c r="Q64" s="16" t="s">
        <v>221</v>
      </c>
      <c r="R64" s="15"/>
    </row>
    <row r="65" spans="6:22" ht="86.4">
      <c r="F65" s="14" t="s">
        <v>226</v>
      </c>
      <c r="O65" s="16" t="s">
        <v>222</v>
      </c>
      <c r="P65" s="16" t="s">
        <v>223</v>
      </c>
      <c r="Q65" s="16" t="s">
        <v>224</v>
      </c>
    </row>
    <row r="67" spans="6:22">
      <c r="F67" s="17" t="s">
        <v>227</v>
      </c>
    </row>
    <row r="68" spans="6:22" ht="21">
      <c r="O68" s="7" t="s">
        <v>187</v>
      </c>
      <c r="P68" s="10" t="e" cm="1">
        <f t="array" ref="P68">SUM(VALUE(_xlfn.TEXTBEFORE(P18:P67, " ")))</f>
        <v>#N/A</v>
      </c>
      <c r="Q68" s="10" cm="1">
        <f t="array" ref="Q68">SUM(IFERROR(VALUE(_xlfn.TEXTBEFORE(Q18:Q67, " ")), 0))</f>
        <v>0</v>
      </c>
      <c r="R68" s="10" cm="1">
        <f t="array" ref="R68">SUM(IFERROR(VALUE(_xlfn.TEXTBEFORE(R18:R67, " ")), 0))</f>
        <v>0</v>
      </c>
      <c r="S68" s="10" cm="1">
        <f t="array" ref="S68">SUM(IFERROR(VALUE(_xlfn.TEXTBEFORE(S18:S67, " ")), 0))</f>
        <v>0</v>
      </c>
      <c r="T68" s="10" cm="1">
        <f t="array" ref="T68">SUM(IFERROR(VALUE(_xlfn.TEXTBEFORE(T18:T67, " ")), 0))</f>
        <v>0</v>
      </c>
      <c r="U68" s="10" cm="1">
        <f t="array" ref="U68">SUM(IFERROR(VALUE(_xlfn.TEXTBEFORE(U18:U67, " ")), 0))</f>
        <v>0</v>
      </c>
      <c r="V68" s="10">
        <f>SUM(V18:V67)</f>
        <v>0</v>
      </c>
    </row>
    <row r="69" spans="6:22" ht="18">
      <c r="F69" s="14" t="s">
        <v>228</v>
      </c>
    </row>
    <row r="71" spans="6:22">
      <c r="F71" t="s">
        <v>229</v>
      </c>
    </row>
    <row r="73" spans="6:22">
      <c r="F73" s="18" t="s">
        <v>230</v>
      </c>
    </row>
    <row r="75" spans="6:22">
      <c r="F75" t="s">
        <v>231</v>
      </c>
    </row>
    <row r="77" spans="6:22">
      <c r="F77" s="19" t="s">
        <v>232</v>
      </c>
    </row>
    <row r="79" spans="6:22">
      <c r="F79" s="18" t="s">
        <v>233</v>
      </c>
    </row>
    <row r="81" spans="6:6">
      <c r="F81" t="s">
        <v>231</v>
      </c>
    </row>
    <row r="83" spans="6:6">
      <c r="F83" s="19" t="s">
        <v>234</v>
      </c>
    </row>
    <row r="84" spans="6:6">
      <c r="F84" s="19" t="s">
        <v>235</v>
      </c>
    </row>
    <row r="85" spans="6:6">
      <c r="F85" s="19" t="s">
        <v>236</v>
      </c>
    </row>
    <row r="86" spans="6:6">
      <c r="F86" s="19" t="s">
        <v>237</v>
      </c>
    </row>
    <row r="87" spans="6:6">
      <c r="F87" s="19" t="s">
        <v>238</v>
      </c>
    </row>
    <row r="89" spans="6:6">
      <c r="F89" s="18" t="s">
        <v>239</v>
      </c>
    </row>
    <row r="91" spans="6:6">
      <c r="F91" t="s">
        <v>231</v>
      </c>
    </row>
    <row r="93" spans="6:6">
      <c r="F93" s="19" t="s">
        <v>240</v>
      </c>
    </row>
    <row r="94" spans="6:6">
      <c r="F94" s="19" t="s">
        <v>241</v>
      </c>
    </row>
    <row r="96" spans="6:6" ht="18">
      <c r="F96" s="14" t="s">
        <v>242</v>
      </c>
    </row>
    <row r="98" spans="6:6">
      <c r="F98" t="s">
        <v>243</v>
      </c>
    </row>
    <row r="99" spans="6:6">
      <c r="F99" s="12"/>
    </row>
    <row r="100" spans="6:6">
      <c r="F100" s="13" t="s">
        <v>244</v>
      </c>
    </row>
    <row r="101" spans="6:6">
      <c r="F101" s="12"/>
    </row>
    <row r="102" spans="6:6">
      <c r="F102" s="13" t="s">
        <v>245</v>
      </c>
    </row>
    <row r="103" spans="6:6">
      <c r="F103" s="12"/>
    </row>
    <row r="104" spans="6:6">
      <c r="F104" s="13" t="s">
        <v>246</v>
      </c>
    </row>
    <row r="105" spans="6:6">
      <c r="F105" s="12"/>
    </row>
    <row r="106" spans="6:6">
      <c r="F106" s="13" t="s">
        <v>247</v>
      </c>
    </row>
    <row r="108" spans="6:6" ht="18">
      <c r="F108" s="14" t="s">
        <v>248</v>
      </c>
    </row>
    <row r="110" spans="6:6">
      <c r="F110" t="s">
        <v>249</v>
      </c>
    </row>
  </sheetData>
  <phoneticPr fontId="9" type="noConversion"/>
  <hyperlinks>
    <hyperlink ref="F67" r:id="rId1" display="https://www.google.com/search?q=sandbox:/mnt/data/cleaned_routine_data.csv" xr:uid="{12438C18-836F-4B2E-A712-E3619CB431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7E54B-E6D2-4472-AB0F-15F4E944C0D8}">
  <dimension ref="A1:J51"/>
  <sheetViews>
    <sheetView workbookViewId="0">
      <selection activeCell="A5" sqref="A5"/>
    </sheetView>
  </sheetViews>
  <sheetFormatPr defaultRowHeight="14.4"/>
  <cols>
    <col min="1" max="1" width="24.77734375" customWidth="1"/>
    <col min="2" max="2" width="13" customWidth="1"/>
    <col min="4" max="4" width="13.5546875" customWidth="1"/>
    <col min="5" max="5" width="15.33203125" customWidth="1"/>
    <col min="7" max="7" width="15.44140625" customWidth="1"/>
    <col min="8" max="8" width="19.44140625" customWidth="1"/>
    <col min="10" max="10" width="11.88671875" customWidth="1"/>
  </cols>
  <sheetData>
    <row r="1" spans="1:10" ht="21">
      <c r="A1" s="7" t="s">
        <v>3</v>
      </c>
      <c r="B1" s="4" t="s">
        <v>0</v>
      </c>
      <c r="C1" s="4" t="s">
        <v>1</v>
      </c>
      <c r="D1" s="4" t="s">
        <v>2</v>
      </c>
      <c r="E1" s="4" t="s">
        <v>6</v>
      </c>
      <c r="F1" s="4" t="s">
        <v>8</v>
      </c>
      <c r="G1" s="4" t="s">
        <v>10</v>
      </c>
      <c r="H1" s="6" t="s">
        <v>13</v>
      </c>
    </row>
    <row r="2" spans="1:10">
      <c r="A2" s="8">
        <v>45994</v>
      </c>
      <c r="B2">
        <v>5.5</v>
      </c>
      <c r="C2">
        <v>1828</v>
      </c>
      <c r="D2">
        <v>20</v>
      </c>
      <c r="E2" s="9">
        <v>3</v>
      </c>
      <c r="F2">
        <v>28</v>
      </c>
      <c r="G2">
        <v>7</v>
      </c>
      <c r="H2">
        <v>2.14</v>
      </c>
      <c r="J2" s="8"/>
    </row>
    <row r="3" spans="1:10">
      <c r="A3" s="8">
        <v>45995</v>
      </c>
      <c r="B3">
        <v>6.5</v>
      </c>
      <c r="C3">
        <v>1850</v>
      </c>
      <c r="D3">
        <v>30</v>
      </c>
      <c r="E3" s="3">
        <v>3.7</v>
      </c>
      <c r="F3">
        <v>21</v>
      </c>
      <c r="G3">
        <v>9</v>
      </c>
      <c r="H3">
        <v>1.59</v>
      </c>
      <c r="J3" s="8"/>
    </row>
    <row r="4" spans="1:10">
      <c r="A4" s="8">
        <v>45996</v>
      </c>
      <c r="B4">
        <v>4.5</v>
      </c>
      <c r="C4">
        <v>2593</v>
      </c>
      <c r="D4">
        <v>20</v>
      </c>
      <c r="E4">
        <v>2</v>
      </c>
      <c r="F4">
        <v>18</v>
      </c>
      <c r="G4">
        <v>4</v>
      </c>
      <c r="H4">
        <v>1</v>
      </c>
      <c r="J4" s="8"/>
    </row>
    <row r="5" spans="1:10">
      <c r="A5" s="8">
        <v>45997</v>
      </c>
      <c r="B5">
        <v>5.5</v>
      </c>
      <c r="C5">
        <v>2195</v>
      </c>
      <c r="D5">
        <v>30</v>
      </c>
      <c r="E5">
        <v>3.5</v>
      </c>
      <c r="F5">
        <v>12</v>
      </c>
      <c r="G5">
        <v>0</v>
      </c>
      <c r="H5">
        <v>1.34</v>
      </c>
      <c r="J5" s="8"/>
    </row>
    <row r="6" spans="1:10">
      <c r="A6" s="8">
        <v>45998</v>
      </c>
      <c r="B6">
        <v>4.5</v>
      </c>
      <c r="C6">
        <v>2083</v>
      </c>
      <c r="D6">
        <v>20</v>
      </c>
      <c r="E6">
        <v>1.1000000000000001</v>
      </c>
      <c r="F6">
        <v>22</v>
      </c>
      <c r="G6">
        <v>12</v>
      </c>
      <c r="H6">
        <v>1.1499999999999999</v>
      </c>
      <c r="J6" s="8"/>
    </row>
    <row r="7" spans="1:10">
      <c r="A7" s="8">
        <v>45999</v>
      </c>
      <c r="B7">
        <v>6.5</v>
      </c>
      <c r="C7">
        <v>2122</v>
      </c>
      <c r="D7">
        <v>20</v>
      </c>
      <c r="E7">
        <v>2.9</v>
      </c>
      <c r="F7">
        <v>17</v>
      </c>
      <c r="G7">
        <v>10</v>
      </c>
      <c r="H7">
        <v>2.4300000000000002</v>
      </c>
      <c r="J7" s="8"/>
    </row>
    <row r="8" spans="1:10">
      <c r="A8" s="8">
        <v>46000</v>
      </c>
      <c r="B8">
        <v>9</v>
      </c>
      <c r="C8">
        <v>2362</v>
      </c>
      <c r="D8">
        <v>0</v>
      </c>
      <c r="E8">
        <v>3.5</v>
      </c>
      <c r="F8">
        <v>23</v>
      </c>
      <c r="G8">
        <v>0</v>
      </c>
      <c r="H8">
        <v>0</v>
      </c>
      <c r="J8" s="8"/>
    </row>
    <row r="9" spans="1:10">
      <c r="A9" s="8">
        <v>46001</v>
      </c>
      <c r="B9">
        <v>7</v>
      </c>
      <c r="C9">
        <v>2031</v>
      </c>
      <c r="D9">
        <v>25</v>
      </c>
      <c r="E9">
        <v>1.1000000000000001</v>
      </c>
      <c r="F9">
        <v>26</v>
      </c>
      <c r="G9">
        <v>8</v>
      </c>
      <c r="H9">
        <v>1</v>
      </c>
      <c r="J9" s="8"/>
    </row>
    <row r="10" spans="1:10">
      <c r="A10" s="8">
        <v>46002</v>
      </c>
      <c r="B10">
        <v>8</v>
      </c>
      <c r="C10">
        <v>1965</v>
      </c>
      <c r="D10">
        <v>0</v>
      </c>
      <c r="E10">
        <v>1.8</v>
      </c>
      <c r="F10">
        <v>11</v>
      </c>
      <c r="G10">
        <v>9</v>
      </c>
      <c r="H10">
        <v>0.25</v>
      </c>
      <c r="J10" s="8"/>
    </row>
    <row r="11" spans="1:10">
      <c r="A11" s="8">
        <v>46003</v>
      </c>
      <c r="B11">
        <v>7</v>
      </c>
      <c r="C11">
        <v>2678</v>
      </c>
      <c r="D11">
        <v>0</v>
      </c>
      <c r="E11">
        <v>1.9</v>
      </c>
      <c r="F11">
        <v>15</v>
      </c>
      <c r="G11">
        <v>4</v>
      </c>
      <c r="H11">
        <v>1.1200000000000001</v>
      </c>
      <c r="J11" s="8"/>
    </row>
    <row r="12" spans="1:10">
      <c r="A12" s="8">
        <v>46004</v>
      </c>
      <c r="B12">
        <v>6.5</v>
      </c>
      <c r="C12">
        <v>3226</v>
      </c>
      <c r="D12">
        <v>15</v>
      </c>
      <c r="E12">
        <v>4.4000000000000004</v>
      </c>
      <c r="F12">
        <v>46</v>
      </c>
      <c r="G12">
        <v>0</v>
      </c>
      <c r="H12">
        <v>0</v>
      </c>
      <c r="J12" s="8"/>
    </row>
    <row r="13" spans="1:10">
      <c r="A13" s="8">
        <v>46005</v>
      </c>
      <c r="B13">
        <v>7</v>
      </c>
      <c r="C13">
        <v>2311</v>
      </c>
      <c r="D13">
        <v>0</v>
      </c>
      <c r="E13">
        <v>1.1000000000000001</v>
      </c>
      <c r="F13">
        <v>16</v>
      </c>
      <c r="G13">
        <v>12</v>
      </c>
      <c r="H13">
        <v>2.36</v>
      </c>
      <c r="J13" s="8"/>
    </row>
    <row r="14" spans="1:10">
      <c r="A14" s="8">
        <v>46006</v>
      </c>
      <c r="B14">
        <v>7.5</v>
      </c>
      <c r="C14">
        <v>2089</v>
      </c>
      <c r="D14">
        <v>0</v>
      </c>
      <c r="E14">
        <v>4.4000000000000004</v>
      </c>
      <c r="F14">
        <v>20</v>
      </c>
      <c r="G14">
        <v>8</v>
      </c>
      <c r="H14">
        <v>1.46</v>
      </c>
      <c r="J14" s="8"/>
    </row>
    <row r="15" spans="1:10">
      <c r="A15" s="8">
        <v>46007</v>
      </c>
      <c r="B15">
        <v>7</v>
      </c>
      <c r="C15">
        <v>2755</v>
      </c>
      <c r="D15">
        <v>15</v>
      </c>
      <c r="E15">
        <v>6</v>
      </c>
      <c r="F15">
        <v>19</v>
      </c>
      <c r="G15">
        <v>0</v>
      </c>
      <c r="H15">
        <v>0</v>
      </c>
      <c r="J15" s="8"/>
    </row>
    <row r="16" spans="1:10">
      <c r="A16" s="8">
        <v>46008</v>
      </c>
      <c r="B16">
        <v>8</v>
      </c>
      <c r="C16">
        <v>3102</v>
      </c>
      <c r="D16">
        <v>10</v>
      </c>
      <c r="E16">
        <v>5.4</v>
      </c>
      <c r="F16">
        <v>31</v>
      </c>
      <c r="G16">
        <v>8</v>
      </c>
      <c r="H16">
        <v>0</v>
      </c>
      <c r="J16" s="8"/>
    </row>
    <row r="17" spans="1:10">
      <c r="A17" s="8">
        <v>46009</v>
      </c>
      <c r="B17">
        <v>7</v>
      </c>
      <c r="C17">
        <v>2230</v>
      </c>
      <c r="D17">
        <v>0</v>
      </c>
      <c r="E17">
        <v>1.3</v>
      </c>
      <c r="F17">
        <v>20</v>
      </c>
      <c r="G17">
        <v>9</v>
      </c>
      <c r="H17">
        <v>1.56</v>
      </c>
      <c r="J17" s="8"/>
    </row>
    <row r="18" spans="1:10">
      <c r="A18" s="8">
        <v>46010</v>
      </c>
      <c r="B18">
        <v>8</v>
      </c>
      <c r="C18">
        <v>2165</v>
      </c>
      <c r="D18">
        <v>0</v>
      </c>
      <c r="E18">
        <v>8.1999999999999993</v>
      </c>
      <c r="F18">
        <v>5</v>
      </c>
      <c r="G18">
        <v>4</v>
      </c>
      <c r="H18">
        <v>0</v>
      </c>
      <c r="J18" s="8"/>
    </row>
    <row r="19" spans="1:10">
      <c r="A19" s="8">
        <v>46011</v>
      </c>
      <c r="B19">
        <v>8</v>
      </c>
      <c r="C19">
        <v>2540</v>
      </c>
      <c r="D19">
        <v>20</v>
      </c>
      <c r="E19">
        <v>4.2</v>
      </c>
      <c r="F19">
        <v>32</v>
      </c>
      <c r="G19">
        <v>0</v>
      </c>
      <c r="H19">
        <v>1</v>
      </c>
      <c r="J19" s="8"/>
    </row>
    <row r="20" spans="1:10">
      <c r="A20" s="8">
        <v>46012</v>
      </c>
      <c r="B20">
        <v>6</v>
      </c>
      <c r="C20">
        <v>1945</v>
      </c>
      <c r="D20">
        <v>0</v>
      </c>
      <c r="E20">
        <v>1</v>
      </c>
      <c r="F20">
        <v>15</v>
      </c>
      <c r="G20">
        <v>12</v>
      </c>
      <c r="H20">
        <v>1.41</v>
      </c>
      <c r="J20" s="8"/>
    </row>
    <row r="21" spans="1:10">
      <c r="A21" s="8">
        <v>46013</v>
      </c>
      <c r="B21">
        <v>9</v>
      </c>
      <c r="C21">
        <v>2230</v>
      </c>
      <c r="D21">
        <v>15</v>
      </c>
      <c r="E21">
        <v>0.8</v>
      </c>
      <c r="F21">
        <v>20</v>
      </c>
      <c r="G21">
        <v>8</v>
      </c>
      <c r="H21">
        <v>2.09</v>
      </c>
      <c r="J21" s="8"/>
    </row>
    <row r="22" spans="1:10">
      <c r="A22" s="8">
        <v>46014</v>
      </c>
      <c r="B22">
        <v>8</v>
      </c>
      <c r="C22">
        <v>3291</v>
      </c>
      <c r="D22">
        <v>15</v>
      </c>
      <c r="E22">
        <v>7.6</v>
      </c>
      <c r="F22">
        <v>9</v>
      </c>
      <c r="G22">
        <v>0</v>
      </c>
      <c r="H22">
        <v>0</v>
      </c>
      <c r="J22" s="8"/>
    </row>
    <row r="23" spans="1:10">
      <c r="A23" s="8">
        <v>46015</v>
      </c>
      <c r="B23">
        <v>8</v>
      </c>
      <c r="C23">
        <v>2955</v>
      </c>
      <c r="D23">
        <v>0</v>
      </c>
      <c r="E23">
        <v>0.7</v>
      </c>
      <c r="F23">
        <v>16</v>
      </c>
      <c r="G23">
        <v>7</v>
      </c>
      <c r="H23">
        <v>0.5</v>
      </c>
      <c r="J23" s="8"/>
    </row>
    <row r="24" spans="1:10">
      <c r="A24" s="8">
        <v>46016</v>
      </c>
      <c r="B24">
        <v>7.5</v>
      </c>
      <c r="C24">
        <v>3421</v>
      </c>
      <c r="D24">
        <v>15</v>
      </c>
      <c r="E24">
        <v>0.7</v>
      </c>
      <c r="F24">
        <v>15</v>
      </c>
      <c r="G24">
        <v>12</v>
      </c>
      <c r="H24">
        <v>0.55000000000000004</v>
      </c>
      <c r="J24" s="8"/>
    </row>
    <row r="25" spans="1:10">
      <c r="A25" s="8">
        <v>46017</v>
      </c>
      <c r="B25">
        <v>8.5</v>
      </c>
      <c r="C25">
        <v>2866</v>
      </c>
      <c r="D25">
        <v>15</v>
      </c>
      <c r="E25">
        <v>7.4</v>
      </c>
      <c r="F25">
        <v>14</v>
      </c>
      <c r="G25">
        <v>0</v>
      </c>
      <c r="H25">
        <v>0</v>
      </c>
      <c r="J25" s="8"/>
    </row>
    <row r="26" spans="1:10">
      <c r="A26" s="8">
        <v>46018</v>
      </c>
      <c r="B26">
        <v>7</v>
      </c>
      <c r="C26">
        <v>1050</v>
      </c>
      <c r="D26">
        <v>10</v>
      </c>
      <c r="E26">
        <v>6.5</v>
      </c>
      <c r="F26">
        <v>35</v>
      </c>
      <c r="G26">
        <v>0</v>
      </c>
      <c r="H26">
        <v>0</v>
      </c>
      <c r="J26" s="8"/>
    </row>
    <row r="27" spans="1:10">
      <c r="A27" s="8">
        <v>46019</v>
      </c>
      <c r="B27">
        <v>10</v>
      </c>
      <c r="C27">
        <v>1945</v>
      </c>
      <c r="D27">
        <v>0</v>
      </c>
      <c r="E27">
        <v>0.7</v>
      </c>
      <c r="F27">
        <v>13</v>
      </c>
      <c r="G27">
        <v>12</v>
      </c>
      <c r="H27">
        <v>2.04</v>
      </c>
      <c r="J27" s="8"/>
    </row>
    <row r="28" spans="1:10">
      <c r="A28" s="8">
        <v>46020</v>
      </c>
      <c r="B28">
        <v>8</v>
      </c>
      <c r="C28">
        <v>1650</v>
      </c>
      <c r="D28">
        <v>25</v>
      </c>
      <c r="E28">
        <v>0.8</v>
      </c>
      <c r="F28">
        <v>17</v>
      </c>
      <c r="G28">
        <v>8</v>
      </c>
      <c r="H28">
        <v>1.5</v>
      </c>
      <c r="J28" s="8"/>
    </row>
    <row r="29" spans="1:10">
      <c r="A29" s="8">
        <v>46021</v>
      </c>
      <c r="B29">
        <v>7</v>
      </c>
      <c r="C29">
        <v>2019</v>
      </c>
      <c r="D29">
        <v>20</v>
      </c>
      <c r="E29">
        <v>9.5</v>
      </c>
      <c r="F29">
        <v>16</v>
      </c>
      <c r="G29">
        <v>0</v>
      </c>
      <c r="H29">
        <v>0</v>
      </c>
      <c r="J29" s="8"/>
    </row>
    <row r="30" spans="1:10">
      <c r="A30" s="8">
        <v>46022</v>
      </c>
      <c r="B30">
        <v>7</v>
      </c>
      <c r="C30">
        <v>2345</v>
      </c>
      <c r="D30">
        <v>0</v>
      </c>
      <c r="E30">
        <v>3</v>
      </c>
      <c r="F30">
        <v>41</v>
      </c>
      <c r="G30">
        <v>8</v>
      </c>
      <c r="H30">
        <v>0</v>
      </c>
      <c r="J30" s="8"/>
    </row>
    <row r="31" spans="1:10">
      <c r="A31" s="8">
        <v>46023</v>
      </c>
      <c r="B31">
        <v>10</v>
      </c>
      <c r="C31">
        <v>2541</v>
      </c>
      <c r="D31">
        <v>0</v>
      </c>
      <c r="E31">
        <v>2.8</v>
      </c>
      <c r="F31">
        <v>47</v>
      </c>
      <c r="G31">
        <v>9</v>
      </c>
      <c r="H31">
        <v>0</v>
      </c>
      <c r="J31" s="8"/>
    </row>
    <row r="32" spans="1:10">
      <c r="A32" s="8">
        <v>46024</v>
      </c>
      <c r="B32">
        <v>9</v>
      </c>
      <c r="C32">
        <v>2633</v>
      </c>
      <c r="D32">
        <v>15</v>
      </c>
      <c r="E32">
        <v>10.6</v>
      </c>
      <c r="F32">
        <v>14</v>
      </c>
      <c r="G32">
        <v>4</v>
      </c>
      <c r="H32">
        <v>0.44</v>
      </c>
      <c r="J32" s="8"/>
    </row>
    <row r="33" spans="1:10">
      <c r="A33" s="8">
        <v>46025</v>
      </c>
      <c r="B33">
        <v>7.5</v>
      </c>
      <c r="C33">
        <v>2093</v>
      </c>
      <c r="D33">
        <v>0</v>
      </c>
      <c r="E33">
        <v>8.6999999999999993</v>
      </c>
      <c r="F33">
        <v>25</v>
      </c>
      <c r="G33">
        <v>0</v>
      </c>
      <c r="H33">
        <v>0</v>
      </c>
      <c r="J33" s="8"/>
    </row>
    <row r="34" spans="1:10">
      <c r="A34" s="8">
        <v>46026</v>
      </c>
      <c r="B34">
        <v>8</v>
      </c>
      <c r="C34">
        <v>2489</v>
      </c>
      <c r="D34">
        <v>0</v>
      </c>
      <c r="E34">
        <v>0.7</v>
      </c>
      <c r="F34">
        <v>23</v>
      </c>
      <c r="G34">
        <v>12</v>
      </c>
      <c r="H34">
        <v>1.35</v>
      </c>
      <c r="J34" s="8"/>
    </row>
    <row r="35" spans="1:10">
      <c r="A35" s="8">
        <v>46027</v>
      </c>
      <c r="B35">
        <v>7</v>
      </c>
      <c r="C35">
        <v>1856</v>
      </c>
      <c r="D35">
        <v>15</v>
      </c>
      <c r="E35">
        <v>0.9</v>
      </c>
      <c r="F35">
        <v>18</v>
      </c>
      <c r="G35">
        <v>9</v>
      </c>
      <c r="H35">
        <v>1</v>
      </c>
      <c r="J35" s="8"/>
    </row>
    <row r="36" spans="1:10">
      <c r="A36" s="8">
        <v>46028</v>
      </c>
      <c r="B36">
        <v>8</v>
      </c>
      <c r="C36">
        <v>2354</v>
      </c>
      <c r="D36">
        <v>0</v>
      </c>
      <c r="E36">
        <v>8.4</v>
      </c>
      <c r="F36">
        <v>23</v>
      </c>
      <c r="G36">
        <v>0</v>
      </c>
      <c r="H36">
        <v>0</v>
      </c>
      <c r="J36" s="8"/>
    </row>
    <row r="37" spans="1:10">
      <c r="A37" s="8">
        <v>46029</v>
      </c>
      <c r="B37">
        <v>7</v>
      </c>
      <c r="C37">
        <v>2540</v>
      </c>
      <c r="D37">
        <v>20</v>
      </c>
      <c r="E37">
        <v>4.2</v>
      </c>
      <c r="F37">
        <v>32</v>
      </c>
      <c r="G37">
        <v>8</v>
      </c>
      <c r="H37">
        <v>0</v>
      </c>
      <c r="J37" s="8"/>
    </row>
    <row r="38" spans="1:10">
      <c r="A38" s="8">
        <v>46030</v>
      </c>
      <c r="B38">
        <v>6</v>
      </c>
      <c r="C38">
        <v>2941</v>
      </c>
      <c r="D38">
        <v>0</v>
      </c>
      <c r="E38">
        <v>0.7</v>
      </c>
      <c r="F38">
        <v>16</v>
      </c>
      <c r="G38">
        <v>9</v>
      </c>
      <c r="H38">
        <v>1.55</v>
      </c>
      <c r="J38" s="8"/>
    </row>
    <row r="39" spans="1:10">
      <c r="A39" s="8">
        <v>46031</v>
      </c>
      <c r="B39">
        <v>7</v>
      </c>
      <c r="C39">
        <v>2741</v>
      </c>
      <c r="D39">
        <v>20</v>
      </c>
      <c r="E39">
        <v>5.6</v>
      </c>
      <c r="F39">
        <v>15</v>
      </c>
      <c r="G39">
        <v>4</v>
      </c>
      <c r="H39">
        <v>0</v>
      </c>
      <c r="J39" s="8"/>
    </row>
    <row r="40" spans="1:10">
      <c r="A40" s="8">
        <v>46032</v>
      </c>
      <c r="B40">
        <v>10</v>
      </c>
      <c r="C40">
        <v>3040</v>
      </c>
      <c r="D40">
        <v>30</v>
      </c>
      <c r="E40">
        <v>7.3</v>
      </c>
      <c r="F40">
        <v>41</v>
      </c>
      <c r="G40">
        <v>0</v>
      </c>
      <c r="H40">
        <v>3.15</v>
      </c>
      <c r="J40" s="8"/>
    </row>
    <row r="41" spans="1:10">
      <c r="A41" s="8">
        <v>46033</v>
      </c>
      <c r="B41">
        <v>6</v>
      </c>
      <c r="C41">
        <v>2732</v>
      </c>
      <c r="D41">
        <v>20</v>
      </c>
      <c r="E41">
        <v>0.6</v>
      </c>
      <c r="F41">
        <v>10</v>
      </c>
      <c r="G41">
        <v>12</v>
      </c>
      <c r="H41">
        <v>2</v>
      </c>
      <c r="J41" s="8"/>
    </row>
    <row r="42" spans="1:10">
      <c r="A42" s="8">
        <v>46034</v>
      </c>
      <c r="B42">
        <v>7</v>
      </c>
      <c r="C42">
        <v>2360</v>
      </c>
      <c r="D42">
        <v>20</v>
      </c>
      <c r="E42">
        <v>0.7</v>
      </c>
      <c r="F42">
        <v>16</v>
      </c>
      <c r="G42">
        <v>9</v>
      </c>
      <c r="H42">
        <v>1.54</v>
      </c>
      <c r="J42" s="8"/>
    </row>
    <row r="43" spans="1:10">
      <c r="A43" s="8">
        <v>46035</v>
      </c>
      <c r="B43">
        <v>7</v>
      </c>
      <c r="C43">
        <v>3612</v>
      </c>
      <c r="D43">
        <v>35</v>
      </c>
      <c r="E43">
        <v>12.3</v>
      </c>
      <c r="F43">
        <v>13</v>
      </c>
      <c r="G43">
        <v>0</v>
      </c>
      <c r="H43">
        <v>0</v>
      </c>
      <c r="J43" s="8"/>
    </row>
    <row r="44" spans="1:10">
      <c r="A44" s="8">
        <v>46036</v>
      </c>
      <c r="B44">
        <v>9</v>
      </c>
      <c r="C44">
        <v>2852</v>
      </c>
      <c r="D44">
        <v>15</v>
      </c>
      <c r="E44">
        <v>3</v>
      </c>
      <c r="F44">
        <v>25</v>
      </c>
      <c r="G44">
        <v>8</v>
      </c>
      <c r="H44">
        <v>0</v>
      </c>
      <c r="J44" s="8"/>
    </row>
    <row r="45" spans="1:10">
      <c r="A45" s="8">
        <v>46037</v>
      </c>
      <c r="B45">
        <v>7</v>
      </c>
      <c r="C45">
        <v>2156</v>
      </c>
      <c r="D45">
        <v>0</v>
      </c>
      <c r="E45">
        <v>0.6</v>
      </c>
      <c r="F45">
        <v>8</v>
      </c>
      <c r="G45">
        <v>9</v>
      </c>
      <c r="H45">
        <v>1.48</v>
      </c>
      <c r="J45" s="8"/>
    </row>
    <row r="46" spans="1:10">
      <c r="A46" s="8">
        <v>46038</v>
      </c>
      <c r="B46">
        <v>6</v>
      </c>
      <c r="C46">
        <v>2663</v>
      </c>
      <c r="D46">
        <v>15</v>
      </c>
      <c r="E46">
        <v>7.2</v>
      </c>
      <c r="F46">
        <v>14</v>
      </c>
      <c r="G46">
        <v>4</v>
      </c>
      <c r="H46">
        <v>0</v>
      </c>
      <c r="J46" s="8"/>
    </row>
    <row r="47" spans="1:10">
      <c r="A47" s="8">
        <v>46039</v>
      </c>
      <c r="B47">
        <v>8</v>
      </c>
      <c r="C47">
        <v>3255</v>
      </c>
      <c r="D47">
        <v>0</v>
      </c>
      <c r="E47">
        <v>4.7</v>
      </c>
      <c r="F47">
        <v>36</v>
      </c>
      <c r="G47">
        <v>0</v>
      </c>
      <c r="H47">
        <v>1.55</v>
      </c>
      <c r="J47" s="8"/>
    </row>
    <row r="48" spans="1:10">
      <c r="A48" s="8">
        <v>46040</v>
      </c>
      <c r="B48">
        <v>7</v>
      </c>
      <c r="C48">
        <v>2750</v>
      </c>
      <c r="D48">
        <v>15</v>
      </c>
      <c r="E48">
        <v>0.4</v>
      </c>
      <c r="F48">
        <v>12</v>
      </c>
      <c r="G48">
        <v>12</v>
      </c>
      <c r="H48">
        <v>2.4500000000000002</v>
      </c>
      <c r="J48" s="8"/>
    </row>
    <row r="49" spans="1:10">
      <c r="A49" s="8">
        <v>46041</v>
      </c>
      <c r="B49">
        <v>8</v>
      </c>
      <c r="C49">
        <v>2354</v>
      </c>
      <c r="D49">
        <v>20</v>
      </c>
      <c r="E49">
        <v>0.6</v>
      </c>
      <c r="F49">
        <v>15</v>
      </c>
      <c r="G49">
        <v>9</v>
      </c>
      <c r="H49">
        <v>1.35</v>
      </c>
      <c r="J49" s="8"/>
    </row>
    <row r="50" spans="1:10">
      <c r="A50" s="8">
        <v>46042</v>
      </c>
      <c r="B50">
        <v>6.5</v>
      </c>
      <c r="C50">
        <v>2941</v>
      </c>
      <c r="D50">
        <v>30</v>
      </c>
      <c r="E50">
        <v>9</v>
      </c>
      <c r="F50">
        <v>16</v>
      </c>
      <c r="G50">
        <v>0</v>
      </c>
      <c r="H50">
        <v>0.5</v>
      </c>
      <c r="J50" s="8"/>
    </row>
    <row r="51" spans="1:10">
      <c r="A51" s="8">
        <v>46043</v>
      </c>
      <c r="B51">
        <v>7</v>
      </c>
      <c r="C51">
        <v>2020</v>
      </c>
      <c r="D51">
        <v>0</v>
      </c>
      <c r="E51">
        <v>1</v>
      </c>
      <c r="F51">
        <v>12</v>
      </c>
      <c r="G51">
        <v>8</v>
      </c>
      <c r="H51">
        <v>1.3</v>
      </c>
      <c r="J5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Gobran</dc:creator>
  <cp:lastModifiedBy>Mina Gobran</cp:lastModifiedBy>
  <dcterms:created xsi:type="dcterms:W3CDTF">2025-12-04T10:19:16Z</dcterms:created>
  <dcterms:modified xsi:type="dcterms:W3CDTF">2026-01-19T17:30:53Z</dcterms:modified>
</cp:coreProperties>
</file>